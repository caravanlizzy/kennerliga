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4"/>
  </bookViews>
  <sheets>
    <sheet name="2023_S1" sheetId="1" state="visible" r:id="rId3"/>
    <sheet name="2023_S2" sheetId="2" state="visible" r:id="rId4"/>
    <sheet name="2023_S3" sheetId="3" state="visible" r:id="rId5"/>
    <sheet name="2023_S4" sheetId="4" state="visible" r:id="rId6"/>
    <sheet name="2023_S5" sheetId="5" state="visible" r:id="rId7"/>
    <sheet name="2023_GESAMTWERTUNG" sheetId="6" state="visible" r:id="rId8"/>
    <sheet name="Gewählte Spiele" sheetId="7" state="visible" r:id="rId9"/>
    <sheet name="Definitionen" sheetId="8" state="visible" r:id="rId10"/>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<sst xmlns="http://schemas.openxmlformats.org/spreadsheetml/2006/main" count="4501" uniqueCount="486">
  <si>
    <t xml:space="preserve">2023 Season 1</t>
  </si>
  <si>
    <t xml:space="preserve">Angemeldete Spieler für 2023_S1</t>
  </si>
  <si>
    <t xml:space="preserve">Erstellung der Ligen</t>
  </si>
  <si>
    <t xml:space="preserve">Rang
aus
22_S12</t>
  </si>
  <si>
    <t xml:space="preserve">Name</t>
  </si>
  <si>
    <t xml:space="preserve">Nikname 
Boardgamearena</t>
  </si>
  <si>
    <t xml:space="preserve">Nikname 
Yukata</t>
  </si>
  <si>
    <t xml:space="preserve">Nikname 
boardgamers.space</t>
  </si>
  <si>
    <t xml:space="preserve">Anmeldung für 
2023_S2</t>
  </si>
  <si>
    <t xml:space="preserve">Liga</t>
  </si>
  <si>
    <t xml:space="preserve">Reihenfolge</t>
  </si>
  <si>
    <t xml:space="preserve">Bea Kittner</t>
  </si>
  <si>
    <t xml:space="preserve">isiundossi</t>
  </si>
  <si>
    <t xml:space="preserve">*</t>
  </si>
  <si>
    <t xml:space="preserve">Ja</t>
  </si>
  <si>
    <t xml:space="preserve">Devid Fulterer</t>
  </si>
  <si>
    <t xml:space="preserve">Ginooo</t>
  </si>
  <si>
    <t xml:space="preserve">Judith Fulterer</t>
  </si>
  <si>
    <t xml:space="preserve">MissM1</t>
  </si>
  <si>
    <t xml:space="preserve">MissM</t>
  </si>
  <si>
    <t xml:space="preserve">Andreas Micke</t>
  </si>
  <si>
    <t xml:space="preserve">Palladium2000</t>
  </si>
  <si>
    <t xml:space="preserve">Pauline Micke</t>
  </si>
  <si>
    <t xml:space="preserve">Bienchen_2000</t>
  </si>
  <si>
    <t xml:space="preserve">Jonas Röhrig</t>
  </si>
  <si>
    <t xml:space="preserve">chefkoch07</t>
  </si>
  <si>
    <t xml:space="preserve">Markus Hagenauer</t>
  </si>
  <si>
    <t xml:space="preserve">Markus1711</t>
  </si>
  <si>
    <t xml:space="preserve">Charlotte Schöpges</t>
  </si>
  <si>
    <t xml:space="preserve">Travelingkite</t>
  </si>
  <si>
    <t xml:space="preserve">Fabian Spaniol</t>
  </si>
  <si>
    <t xml:space="preserve">fanabi</t>
  </si>
  <si>
    <t xml:space="preserve">Nein</t>
  </si>
  <si>
    <t xml:space="preserve">Kai Maibaum</t>
  </si>
  <si>
    <t xml:space="preserve">MobMob3</t>
  </si>
  <si>
    <t xml:space="preserve">Daniel Zimmermann</t>
  </si>
  <si>
    <t xml:space="preserve">Zimbaland</t>
  </si>
  <si>
    <t xml:space="preserve">Marc Lambrecht</t>
  </si>
  <si>
    <t xml:space="preserve">haligh</t>
  </si>
  <si>
    <t xml:space="preserve">Gesamtanzahl Spieler 2023_S1:</t>
  </si>
  <si>
    <t xml:space="preserve">Neuanmeldungen für 2023_S2</t>
  </si>
  <si>
    <t xml:space="preserve">Nr.</t>
  </si>
  <si>
    <t xml:space="preserve">Jérôme Schätzle</t>
  </si>
  <si>
    <t xml:space="preserve">eumel247</t>
  </si>
  <si>
    <t xml:space="preserve">Lisa Schätzle</t>
  </si>
  <si>
    <t xml:space="preserve">Lise-lotte</t>
  </si>
  <si>
    <t xml:space="preserve">Eumeline</t>
  </si>
  <si>
    <t xml:space="preserve">Liga 1</t>
  </si>
  <si>
    <t xml:space="preserve">Spieler</t>
  </si>
  <si>
    <t xml:space="preserve">Nikname auf Boardgamearena</t>
  </si>
  <si>
    <t xml:space="preserve">1. Durchgang: </t>
  </si>
  <si>
    <t xml:space="preserve">2. Durchgang:</t>
  </si>
  <si>
    <t xml:space="preserve">3. Durchgang (falls Spiele gebannt wurden):</t>
  </si>
  <si>
    <t xml:space="preserve">Plattform</t>
  </si>
  <si>
    <t xml:space="preserve">ausgewähltes Spiel</t>
  </si>
  <si>
    <t xml:space="preserve">Optionen</t>
  </si>
  <si>
    <t xml:space="preserve">gebanntes Spiel</t>
  </si>
  <si>
    <t xml:space="preserve">neugewähltes Spiel</t>
  </si>
  <si>
    <t xml:space="preserve">Boardgamearena</t>
  </si>
  <si>
    <t xml:space="preserve">Die Burgen von 
Burgund</t>
  </si>
  <si>
    <t xml:space="preserve">- Spielaufbau (Spieler-Tableaus): Identisches (zufälliges) Spielertableau für alle Spieler</t>
  </si>
  <si>
    <t xml:space="preserve">Res Arcana</t>
  </si>
  <si>
    <t xml:space="preserve">-</t>
  </si>
  <si>
    <t xml:space="preserve">- Ausgabe: Ausgabe von 2019</t>
  </si>
  <si>
    <t xml:space="preserve">- Nur bestätigte Züge sehen: Ja</t>
  </si>
  <si>
    <t xml:space="preserve">Marco Polo II: Im Auftrag des Khan</t>
  </si>
  <si>
    <t xml:space="preserve">- Variante Schwarze Würfel: Nein</t>
  </si>
  <si>
    <t xml:space="preserve">Dungeon Petz</t>
  </si>
  <si>
    <t xml:space="preserve">- Die Karawanen-Erweiterung: Ja</t>
  </si>
  <si>
    <t xml:space="preserve">- Alle Charaktere verwenden: Nein</t>
  </si>
  <si>
    <t xml:space="preserve">- Doppelsymbolkarten: Doppelsymbolkarten</t>
  </si>
  <si>
    <t xml:space="preserve">Die verlorenen Ruinen 
von Arnak</t>
  </si>
  <si>
    <t xml:space="preserve">- Seite des Spielbretts: Der Vogeltempel 
(Standard)</t>
  </si>
  <si>
    <t xml:space="preserve">- Mehr Vorausschau: Mehr Vorausschau</t>
  </si>
  <si>
    <t xml:space="preserve">- Spielregeln: Normales Spiel mit Draft</t>
  </si>
  <si>
    <t xml:space="preserve">Flügelschlag</t>
  </si>
  <si>
    <t xml:space="preserve">- Zieltafel: Grün</t>
  </si>
  <si>
    <t xml:space="preserve">- Erweiterung 1: Lux &amp; Tenebrae: Deaktiviert</t>
  </si>
  <si>
    <t xml:space="preserve">- Sprachabhängige Bonuskarten: Eingeschlossen</t>
  </si>
  <si>
    <t xml:space="preserve">- Mächtige Vogelkarten: Entfernen</t>
  </si>
  <si>
    <t xml:space="preserve">Nickname auf der Platform wo das Spiel gespielt wird</t>
  </si>
  <si>
    <t xml:space="preserve">Startposition</t>
  </si>
  <si>
    <t xml:space="preserve">Charakter/Volk
(bei asynchronen Spielen)</t>
  </si>
  <si>
    <t xml:space="preserve">Punkte
(beim Start vom Spiel)</t>
  </si>
  <si>
    <t xml:space="preserve">Punkte 
(am Ende vom Spiel)</t>
  </si>
  <si>
    <t xml:space="preserve">Tiebreaker (nur bei Gleichstand benötigt)</t>
  </si>
  <si>
    <t xml:space="preserve">Prozentuale
 Gewinnbeteiligung</t>
  </si>
  <si>
    <t xml:space="preserve">Platzierung</t>
  </si>
  <si>
    <t xml:space="preserve">Ligapunkte</t>
  </si>
  <si>
    <t xml:space="preserve">1. Platz</t>
  </si>
  <si>
    <t xml:space="preserve">2. Platz</t>
  </si>
  <si>
    <t xml:space="preserve">3. Platz</t>
  </si>
  <si>
    <t xml:space="preserve">4. Platz</t>
  </si>
  <si>
    <t xml:space="preserve">Tableau 6</t>
  </si>
  <si>
    <t xml:space="preserve">Punkte Gewinner:</t>
  </si>
  <si>
    <t xml:space="preserve">Summe Platzierungen:</t>
  </si>
  <si>
    <t xml:space="preserve">Möngke Khan</t>
  </si>
  <si>
    <t xml:space="preserve">Vidal Badoer</t>
  </si>
  <si>
    <t xml:space="preserve">	Piedro Tartarino</t>
  </si>
  <si>
    <t xml:space="preserve">Tebaldo Visconti da 
Piacenza</t>
  </si>
  <si>
    <t xml:space="preserve">Gesamtstand L1</t>
  </si>
  <si>
    <t xml:space="preserve">Strafpunkte (z.B. wegen nichteinhalten einer Frist)</t>
  </si>
  <si>
    <t xml:space="preserve">Grund für Strafpunkt(e)</t>
  </si>
  <si>
    <t xml:space="preserve">Gesamt-Ligapunkte
(Ligapunkte abzüglich Strafpunkte)</t>
  </si>
  <si>
    <t xml:space="preserve">1. Plätze</t>
  </si>
  <si>
    <t xml:space="preserve">2. Plätze</t>
  </si>
  <si>
    <t xml:space="preserve">3. Plätze</t>
  </si>
  <si>
    <t xml:space="preserve">4. Plätze</t>
  </si>
  <si>
    <t xml:space="preserve">Durchschnittliche
prozentuale 
Gewinnbeteiligung</t>
  </si>
  <si>
    <t xml:space="preserve">Liga 2</t>
  </si>
  <si>
    <t xml:space="preserve">Yucata</t>
  </si>
  <si>
    <t xml:space="preserve">Orakel von Delphi</t>
  </si>
  <si>
    <t xml:space="preserve">- Karte: Für Fortgeschrittene (mehr Variation und Untiefen) </t>
  </si>
  <si>
    <t xml:space="preserve">gepasst</t>
  </si>
  <si>
    <t xml:space="preserve">- Schiffsplättchen Verteilung: Auswählen</t>
  </si>
  <si>
    <t xml:space="preserve">- Spieldauer: Normal (12 Zeusplättchen)</t>
  </si>
  <si>
    <t xml:space="preserve">- Weiterspielen: Nein (Originalvariante)</t>
  </si>
  <si>
    <t xml:space="preserve">Tzolk'in</t>
  </si>
  <si>
    <t xml:space="preserve">- Uxmal-Begrenzung der Maismenge: Keine Begrenzung</t>
  </si>
  <si>
    <t xml:space="preserve">Zug um Zug</t>
  </si>
  <si>
    <t xml:space="preserve">- Zugreihenfolge: Zugreihenfolge wird nach der Auswahl der Zielkarten entschieden</t>
  </si>
  <si>
    <t xml:space="preserve">Mascarade</t>
  </si>
  <si>
    <t xml:space="preserve">- Szenarien: Standard</t>
  </si>
  <si>
    <t xml:space="preserve">- Schreibe Masken in die Spielübersicht: An</t>
  </si>
  <si>
    <t xml:space="preserve">Schiffsplättchen 2</t>
  </si>
  <si>
    <t xml:space="preserve">Zu Zeus zurückgekehrt</t>
  </si>
  <si>
    <t xml:space="preserve">Schiffsplättchen 6</t>
  </si>
  <si>
    <t xml:space="preserve">9 erledigte 
Zeusaufgaben</t>
  </si>
  <si>
    <t xml:space="preserve">0 Orakelkarten</t>
  </si>
  <si>
    <t xml:space="preserve">Schiffsplättchen 1</t>
  </si>
  <si>
    <t xml:space="preserve">4 Orakelkarten</t>
  </si>
  <si>
    <t xml:space="preserve">Schiffsplättchen 7</t>
  </si>
  <si>
    <t xml:space="preserve">12 erledigte 
Zeusaufgaben</t>
  </si>
  <si>
    <t xml:space="preserve">Gesamtstand L2</t>
  </si>
  <si>
    <t xml:space="preserve">Liga 3</t>
  </si>
  <si>
    <t xml:space="preserve">Agricola</t>
  </si>
  <si>
    <t xml:space="preserve">Parks</t>
  </si>
  <si>
    <t xml:space="preserve">- Spielaufbau: Wähle eine Vorsatzkarte zum Start</t>
  </si>
  <si>
    <t xml:space="preserve">- Sternstunden-Erweiterung: Deaktiviert</t>
  </si>
  <si>
    <t xml:space="preserve">- Wildlife-Erweiterung: Deaktiviert</t>
  </si>
  <si>
    <t xml:space="preserve">- Wildliebe Variante: Deaktiviert</t>
  </si>
  <si>
    <t xml:space="preserve">- Spielaufbau (Spieler-Tableaus): Zufälliges Spielertableau ohne Spielertableau 8</t>
  </si>
  <si>
    <t xml:space="preserve">- Ausgabe: Erste Ausgabe</t>
  </si>
  <si>
    <t xml:space="preserve">- Kompetitives Level: Kompetitiv</t>
  </si>
  <si>
    <t xml:space="preserve">- Zusätzliche Aktionsfelder: Deaktiviert (Standard)</t>
  </si>
  <si>
    <t xml:space="preserve">- C&amp;D Karten: Eingeschlossen</t>
  </si>
  <si>
    <t xml:space="preserve">- Neues Kartenset: Eingeschlossen</t>
  </si>
  <si>
    <t xml:space="preserve">- Draftmodus: Behalte 7 der 10 ausgeteilten Karten</t>
  </si>
  <si>
    <t xml:space="preserve">- Live-Wertung: Aktiviert</t>
  </si>
  <si>
    <t xml:space="preserve">Tableau 10</t>
  </si>
  <si>
    <t xml:space="preserve">Tableau 5</t>
  </si>
  <si>
    <t xml:space="preserve">Tableau 2</t>
  </si>
  <si>
    <t xml:space="preserve">Gesamtstand L3</t>
  </si>
  <si>
    <t xml:space="preserve">2023 Season 2</t>
  </si>
  <si>
    <t xml:space="preserve">Angemeldete Spieler für 2023_S2</t>
  </si>
  <si>
    <t xml:space="preserve">Rang
aus
S1</t>
  </si>
  <si>
    <t xml:space="preserve">Anmeldung für 
2023_S3</t>
  </si>
  <si>
    <t xml:space="preserve">Gesamtanzahl Spieler 2023_S2:</t>
  </si>
  <si>
    <t xml:space="preserve">Neuanmeldungen für 2023_S3</t>
  </si>
  <si>
    <t xml:space="preserve">Jan Unland</t>
  </si>
  <si>
    <t xml:space="preserve">Bob128</t>
  </si>
  <si>
    <t xml:space="preserve">Rajas of the Ganges</t>
  </si>
  <si>
    <t xml:space="preserve">Boardgamers.space</t>
  </si>
  <si>
    <t xml:space="preserve">Gaia Project</t>
  </si>
  <si>
    <t xml:space="preserve">- Expansions „Frontiers“: Deaktiviert</t>
  </si>
  <si>
    <t xml:space="preserve">- Last player rotates sectors: Aktiviert</t>
  </si>
  <si>
    <t xml:space="preserve">- Random factions: Aktiviert</t>
  </si>
  <si>
    <t xml:space="preserve">- Host set up the entire board (including rotation): Deaktiviert</t>
  </si>
  <si>
    <t xml:space="preserve">- Player order: Random player order</t>
  </si>
  <si>
    <t xml:space="preserve">- Map layout: Standard</t>
  </si>
  <si>
    <t xml:space="preserve">- Auction mode: Chose factions, then bid</t>
  </si>
  <si>
    <t xml:space="preserve">- Faction variants: Balanced</t>
  </si>
  <si>
    <t xml:space="preserve">- Weiterspielen: Ja</t>
  </si>
  <si>
    <t xml:space="preserve">- Variante "gemischte Runde": Deaktiviert</t>
  </si>
  <si>
    <t xml:space="preserve">- Variante "Navaratnas-Variante": Deaktiviert</t>
  </si>
  <si>
    <t xml:space="preserve">- Variante "Ganga Modul": Deaktiviert</t>
  </si>
  <si>
    <t xml:space="preserve">- Variante "Mango-Dorf": Aktiviert</t>
  </si>
  <si>
    <t xml:space="preserve">Taklons</t>
  </si>
  <si>
    <t xml:space="preserve">Bescods</t>
  </si>
  <si>
    <t xml:space="preserve">Ivits</t>
  </si>
  <si>
    <t xml:space="preserve">Xenos</t>
  </si>
  <si>
    <t xml:space="preserve">Zu Zeus 
zurückgekehrt nach 0 zusätzlichen Runden</t>
  </si>
  <si>
    <t xml:space="preserve">2 Orakelkarten</t>
  </si>
  <si>
    <t xml:space="preserve">Schiffsplättchen 8</t>
  </si>
  <si>
    <t xml:space="preserve">Zu Zeus 
zurückgekehrt nach 1 zusätzlichen Runde</t>
  </si>
  <si>
    <t xml:space="preserve">1 Orakelkarte</t>
  </si>
  <si>
    <t xml:space="preserve">Schiffsplättchen 5</t>
  </si>
  <si>
    <t xml:space="preserve">Colt Express</t>
  </si>
  <si>
    <t xml:space="preserve">- Charakterauswahl: Zufallsauswahl</t>
  </si>
  <si>
    <t xml:space="preserve">- Handmanagement: Grundspiel</t>
  </si>
  <si>
    <t xml:space="preserve">Photosynthese</t>
  </si>
  <si>
    <t xml:space="preserve">- Dauer: Normale Variante</t>
  </si>
  <si>
    <t xml:space="preserve">- Schatten: Heller Schatten</t>
  </si>
  <si>
    <t xml:space="preserve">Dice Hospital</t>
  </si>
  <si>
    <t xml:space="preserve">- Spielaufbau: Dice Hospital</t>
  </si>
  <si>
    <t xml:space="preserve">- Schwieriger Modus: Eröffnungskrise + Landesweite Epidemie + Resistenter Supererreger</t>
  </si>
  <si>
    <t xml:space="preserve">Seherin</t>
  </si>
  <si>
    <t xml:space="preserve">Gelehrter</t>
  </si>
  <si>
    <t xml:space="preserve">Druidin</t>
  </si>
  <si>
    <t xml:space="preserve">Verwandlerin</t>
  </si>
  <si>
    <t xml:space="preserve">Tuco</t>
  </si>
  <si>
    <t xml:space="preserve">Django</t>
  </si>
  <si>
    <t xml:space="preserve">Belle</t>
  </si>
  <si>
    <t xml:space="preserve">Ghost</t>
  </si>
  <si>
    <t xml:space="preserve">Louis Pasteur</t>
  </si>
  <si>
    <t xml:space="preserve">Mary Eliza Mahoney</t>
  </si>
  <si>
    <t xml:space="preserve">Norman Ahumway</t>
  </si>
  <si>
    <t xml:space="preserve">Robert G. Edwards</t>
  </si>
  <si>
    <t xml:space="preserve">Liga 3 (3-Spieler-Liga)</t>
  </si>
  <si>
    <t xml:space="preserve">Nikname: 
Yukata</t>
  </si>
  <si>
    <t xml:space="preserve">Viticulture</t>
  </si>
  <si>
    <t xml:space="preserve">- Freundliche Variante: aus</t>
  </si>
  <si>
    <t xml:space="preserve">- Mama &amp; Papa-Auswahl: an</t>
  </si>
  <si>
    <t xml:space="preserve">Roll for the Galaxy</t>
  </si>
  <si>
    <t xml:space="preserve">Mama Alyssa und 
Papa Raymond</t>
  </si>
  <si>
    <t xml:space="preserve">Mama Falon und 
Papa Josh</t>
  </si>
  <si>
    <t xml:space="preserve">Mama Nicole und 
Papa Joel</t>
  </si>
  <si>
    <t xml:space="preserve">10 erledigte 
Zeusaufgaben</t>
  </si>
  <si>
    <t xml:space="preserve">Schiffsplättchen 4</t>
  </si>
  <si>
    <t xml:space="preserve">3 Orakelkarten</t>
  </si>
  <si>
    <t xml:space="preserve">3, Defekte Alien Fabrik</t>
  </si>
  <si>
    <t xml:space="preserve">9, Epsilon Eridani</t>
  </si>
  <si>
    <t xml:space="preserve">4, Alte Erde</t>
  </si>
  <si>
    <t xml:space="preserve">Nikname auf Yucata</t>
  </si>
  <si>
    <t xml:space="preserve">Liga 4 (2-Spieler-Liga)</t>
  </si>
  <si>
    <t xml:space="preserve">Targi</t>
  </si>
  <si>
    <t xml:space="preserve">7 Wonders Architects</t>
  </si>
  <si>
    <t xml:space="preserve">Die Burgen von Burgund</t>
  </si>
  <si>
    <t xml:space="preserve">Gesamtstand L4</t>
  </si>
  <si>
    <t xml:space="preserve">2023 Season 3</t>
  </si>
  <si>
    <t xml:space="preserve">Angemeldete Spieler für 2023_S3</t>
  </si>
  <si>
    <t xml:space="preserve">Rang
aus
S2</t>
  </si>
  <si>
    <t xml:space="preserve">Anmeldung für 
2023_S4</t>
  </si>
  <si>
    <t xml:space="preserve">Gesamtanzahl Spieler 2023_S3:</t>
  </si>
  <si>
    <t xml:space="preserve">Neuanmeldungen für 2023_S4</t>
  </si>
  <si>
    <t xml:space="preserve">Alexandra Janssen</t>
  </si>
  <si>
    <t xml:space="preserve">Lexxiii</t>
  </si>
  <si>
    <t xml:space="preserve">https://tfm.zulifam.
com:9854/</t>
  </si>
  <si>
    <t xml:space="preserve">Terraforming Mars</t>
  </si>
  <si>
    <t xml:space="preserve">- Expansions "Corporate Era": Aktiviert</t>
  </si>
  <si>
    <t xml:space="preserve">- Expansions "Prelude": Aktiviert</t>
  </si>
  <si>
    <t xml:space="preserve">- Expansions "Venus Next": Aktiviert</t>
  </si>
  <si>
    <t xml:space="preserve">- Expansions "Colonies": Deaktiviert</t>
  </si>
  <si>
    <t xml:space="preserve">- Expansions "Turmoil": Aktiviert</t>
  </si>
  <si>
    <t xml:space="preserve">- Expansions "Promos": Aktiviert</t>
  </si>
  <si>
    <t xml:space="preserve">- Expansions Fan-made "Ares": Deaktiviert</t>
  </si>
  <si>
    <t xml:space="preserve">- Expansions Fan-made "Communitiy": Deaktiviert</t>
  </si>
  <si>
    <t xml:space="preserve">- Expansions Fan-made "The Moon": Deaktiviert</t>
  </si>
  <si>
    <t xml:space="preserve">- Expansions Fan-made "Agendas": Deaktiviert</t>
  </si>
  <si>
    <t xml:space="preserve">- Expansions Fan-made "Alternate Venus Board": Deaktiviert</t>
  </si>
  <si>
    <t xml:space="preserve">- Board: Random Official</t>
  </si>
  <si>
    <t xml:space="preserve">- Options "Starting Corporations": 2</t>
  </si>
  <si>
    <t xml:space="preserve">- Options "World Goverment Terraforming": Deaktiviert</t>
  </si>
  <si>
    <t xml:space="preserve">- Options "Allow undo": Aktiviert</t>
  </si>
  <si>
    <t xml:space="preserve">- Opiton "Show timers": Deaktiviert</t>
  </si>
  <si>
    <t xml:space="preserve">- Option "Randomize board tiles": Deaktiviert</t>
  </si>
  <si>
    <t xml:space="preserve">- Option "Set Predefined Game": Deaktiviert</t>
  </si>
  <si>
    <t xml:space="preserve">- Option Filter "Custim Corporation list": Deaktivert</t>
  </si>
  <si>
    <t xml:space="preserve">- Option Filter "Exclude some cards": Deaktivert</t>
  </si>
  <si>
    <t xml:space="preserve">- Option Filter "Remove negative Global Events": Deaktivert</t>
  </si>
  <si>
    <t xml:space="preserve">- Multiplayer Options "Draft variant": Aktiviert</t>
  </si>
  <si>
    <t xml:space="preserve">- Multiplayer Options "Initial Draft variant": Aktiviert</t>
  </si>
  <si>
    <t xml:space="preserve">- Multiplayer Options "Random first player": Aktiviert</t>
  </si>
  <si>
    <t xml:space="preserve">- Multiplayer Options "Random Milestones/Awards": Deaktiviert</t>
  </si>
  <si>
    <t xml:space="preserve">- Multiplayer Options "Venus Milestone/Award": Aktiviert</t>
  </si>
  <si>
    <t xml:space="preserve">- Multiplayer Options "Mandatory Venus Terraforming": Deaktiviert</t>
  </si>
  <si>
    <t xml:space="preserve">- Multiplayer Options "Show real-time VP": Deaktiviert</t>
  </si>
  <si>
    <t xml:space="preserve">- Multiplayer Options "Fast mode": Deaktiviert</t>
  </si>
  <si>
    <t xml:space="preserve">- Multiplayer Options "Beginner Options": Deaktiviert</t>
  </si>
  <si>
    <t xml:space="preserve">Lewis &amp; Clark</t>
  </si>
  <si>
    <t xml:space="preserve">Gantulga Od</t>
  </si>
  <si>
    <t xml:space="preserve">Piedro Tartarino</t>
  </si>
  <si>
    <t xml:space="preserve">De Wu</t>
  </si>
  <si>
    <t xml:space="preserve">Valley Trust</t>
  </si>
  <si>
    <t xml:space="preserve">Factorum</t>
  </si>
  <si>
    <t xml:space="preserve">Vitor</t>
  </si>
  <si>
    <t xml:space="preserve">Celestic</t>
  </si>
  <si>
    <t xml:space="preserve">Splendor</t>
  </si>
  <si>
    <t xml:space="preserve">- Spielmodus: Standard</t>
  </si>
  <si>
    <t xml:space="preserve">Wasserkraft</t>
  </si>
  <si>
    <t xml:space="preserve">- Aufbau: Standard</t>
  </si>
  <si>
    <t xml:space="preserve">- Leeghwater Projektexpansion: Deaktiviert</t>
  </si>
  <si>
    <t xml:space="preserve">- Neue Offiziere (Simone und Tommaso): Ausgeschlossen</t>
  </si>
  <si>
    <t xml:space="preserve">- 4/5 Spieler Erweiterungskarte: Deaktiviert</t>
  </si>
  <si>
    <t xml:space="preserve">- Automas: 0</t>
  </si>
  <si>
    <t xml:space="preserve">Rajas: Dice Charmers</t>
  </si>
  <si>
    <t xml:space="preserve">- Option: Sonnenseite (empfohlen für das erste Spiel)</t>
  </si>
  <si>
    <t xml:space="preserve">Hexe</t>
  </si>
  <si>
    <t xml:space="preserve">Alchemist</t>
  </si>
  <si>
    <t xml:space="preserve">Heiler</t>
  </si>
  <si>
    <t xml:space="preserve">Deutschland - 
Anton Krylov</t>
  </si>
  <si>
    <t xml:space="preserve">Frankreich - 
Wilhelm Adler</t>
  </si>
  <si>
    <t xml:space="preserve">Italien -
Graziano Del Monte</t>
  </si>
  <si>
    <t xml:space="preserve">USA - Mahiri Sekibo</t>
  </si>
  <si>
    <t xml:space="preserve">CATAN - Das Spiel</t>
  </si>
  <si>
    <t xml:space="preserve">- Landfeld-Auslage: Variabler Aufbau</t>
  </si>
  <si>
    <t xml:space="preserve">Teotihuacan: Die Stadt der Götter</t>
  </si>
  <si>
    <t xml:space="preserve">- Auslage der Häfen: Standardaufbau</t>
  </si>
  <si>
    <t xml:space="preserve">- Kombinierte Handels-/Bauphase: Aktiviert</t>
  </si>
  <si>
    <t xml:space="preserve">Underwater Cities</t>
  </si>
  <si>
    <t xml:space="preserve">- Option: Spielerbogen für erfahrene Spieler</t>
  </si>
  <si>
    <t xml:space="preserve">- Option "Regierungsaufträge": Aktiviert</t>
  </si>
  <si>
    <t xml:space="preserve">- Aufbau erstes Spiel: Aus</t>
  </si>
  <si>
    <t xml:space="preserve">- Eklipse Option: normal</t>
  </si>
  <si>
    <t xml:space="preserve">- Startplättchen: normal</t>
  </si>
  <si>
    <t xml:space="preserve">- Pyramidenaufbau: normal</t>
  </si>
  <si>
    <t xml:space="preserve">Azul</t>
  </si>
  <si>
    <t xml:space="preserve">- Variantenoption: Deaktiviert</t>
  </si>
  <si>
    <t xml:space="preserve">- Spezialfabriken (Variante Azul Master Chocolatier): Deaktiviert</t>
  </si>
  <si>
    <t xml:space="preserve">- Rückgängig/Bestätigen erlaubt: Deaktiviert</t>
  </si>
  <si>
    <t xml:space="preserve">- Schnellwertung: Deaktiviert</t>
  </si>
  <si>
    <t xml:space="preserve">Spielplan 6</t>
  </si>
  <si>
    <t xml:space="preserve">Spielplan 8</t>
  </si>
  <si>
    <t xml:space="preserve">Spielplan 7</t>
  </si>
  <si>
    <t xml:space="preserve">Spielplan 5</t>
  </si>
  <si>
    <t xml:space="preserve">2023 Season 4</t>
  </si>
  <si>
    <t xml:space="preserve">Angemeldete Spieler für 2023_S4</t>
  </si>
  <si>
    <t xml:space="preserve">Rang
aus
S3</t>
  </si>
  <si>
    <t xml:space="preserve">Anmeldung für 
2023_S5</t>
  </si>
  <si>
    <t xml:space="preserve">Gesamtanzahl Spieler 2023_S4:</t>
  </si>
  <si>
    <t xml:space="preserve">Nippon</t>
  </si>
  <si>
    <t xml:space="preserve">- Keiretsu-Erweiterung: An</t>
  </si>
  <si>
    <t xml:space="preserve">- Mehr Vorschau: Maximale Vorschau</t>
  </si>
  <si>
    <t xml:space="preserve">- Neue Offiziere (Simone und Tommaso): Inbegriffen</t>
  </si>
  <si>
    <t xml:space="preserve">tfm.zulifam</t>
  </si>
  <si>
    <t xml:space="preserve">- Expansions "Colonies": Aktiviert</t>
  </si>
  <si>
    <t xml:space="preserve">- Expansions Fan-made "Ares": Aktiviert</t>
  </si>
  <si>
    <t xml:space="preserve">- Expansions Fan-made "Communitiy": Aktiviert</t>
  </si>
  <si>
    <t xml:space="preserve">- Expansions Fan-made "The Moon": Aktiviert</t>
  </si>
  <si>
    <t xml:space="preserve">- Expansions Fan-made "Mandatory Moon Terraforming": Deaktiviert</t>
  </si>
  <si>
    <t xml:space="preserve">- Expansions Fan-made "Standard Project Variant": Deaktiviert</t>
  </si>
  <si>
    <t xml:space="preserve">- Board: Random All</t>
  </si>
  <si>
    <t xml:space="preserve">- Options "Starting Corporations": 4</t>
  </si>
  <si>
    <t xml:space="preserve">- Opiton "Show timers": Aktiviert</t>
  </si>
  <si>
    <t xml:space="preserve">- Multiplayer Options "Random Milestones/Awards": Limited synergy</t>
  </si>
  <si>
    <t xml:space="preserve">- Multiplayer Options "Show real-time VP": Aktiviert</t>
  </si>
  <si>
    <t xml:space="preserve">- Multiplayer Options "Fast mode": Aktiviert</t>
  </si>
  <si>
    <t xml:space="preserve">USA - 
Wilhelm Adler</t>
  </si>
  <si>
    <t xml:space="preserve">Frankreich - 
Graziano Del Monte</t>
  </si>
  <si>
    <t xml:space="preserve">Deutschland - 
Simone Luciani</t>
  </si>
  <si>
    <t xml:space="preserve">Italien - 
Solomon P. Jordan</t>
  </si>
  <si>
    <t xml:space="preserve">Saturn Systems</t>
  </si>
  <si>
    <t xml:space="preserve">Robinson Industries</t>
  </si>
  <si>
    <t xml:space="preserve">Inventrix</t>
  </si>
  <si>
    <t xml:space="preserve">Lakefront Resorts</t>
  </si>
  <si>
    <t xml:space="preserve">- Random factions: Deaktiviert</t>
  </si>
  <si>
    <t xml:space="preserve">Living Forest</t>
  </si>
  <si>
    <t xml:space="preserve">- Spielmodus: Konkurrenz</t>
  </si>
  <si>
    <t xml:space="preserve">- Erweiterung aktiviert: Kodama</t>
  </si>
  <si>
    <t xml:space="preserve">Alhambra</t>
  </si>
  <si>
    <t xml:space="preserve">Terrans</t>
  </si>
  <si>
    <t xml:space="preserve">Itars</t>
  </si>
  <si>
    <t xml:space="preserve">Gesamtwert aus 
allen drei 
Siegbedingungen: 19</t>
  </si>
  <si>
    <t xml:space="preserve">Gesamtwert aus 
allen drei 
Siegbedingungen: 23</t>
  </si>
  <si>
    <t xml:space="preserve">Gesamtwert aus 
allen drei 
Siegbedingungen: 17</t>
  </si>
  <si>
    <t xml:space="preserve">Anzahl unbenutzter Futtermarker: 0</t>
  </si>
  <si>
    <t xml:space="preserve">Anzahl unbenutzter 
Futtermarker: 2</t>
  </si>
  <si>
    <t xml:space="preserve">- Dauer: Lange Variante</t>
  </si>
  <si>
    <t xml:space="preserve">- Schatten: Dunkler Schatten</t>
  </si>
  <si>
    <t xml:space="preserve">Carcassonne</t>
  </si>
  <si>
    <t xml:space="preserve">- Der Fluss: Nein</t>
  </si>
  <si>
    <t xml:space="preserve">- Wirtshäuser &amp; Kathedralen (1. Erweiterung): Nein</t>
  </si>
  <si>
    <t xml:space="preserve">- Händler &amp; Baumeister (2. Erweiterung): Nein</t>
  </si>
  <si>
    <t xml:space="preserve">- Prinzessin &amp; Drache (3. Erweiterung): Nein</t>
  </si>
  <si>
    <t xml:space="preserve">- Strategische Variante (3 Plättchen in der Hand): Nein</t>
  </si>
  <si>
    <t xml:space="preserve">- Wiesenwertung: Jede Wiese ist drei Punkte wert pro angrenzender, abgeschlossener Stadt (internationale Regel)</t>
  </si>
  <si>
    <t xml:space="preserve">- Wertung einer Stadt aus nur 2 Stadtplättchen ergibt: 4 Punkte (Internationale Regeln)</t>
  </si>
  <si>
    <t xml:space="preserve">Die verlorenen Ruinen von Arnak</t>
  </si>
  <si>
    <t xml:space="preserve">- Seite des Spielbretts: Der Vogeltempel (Standard)</t>
  </si>
  <si>
    <t xml:space="preserve">Through the Ages: Eine neue Geschichte der Zivilisation</t>
  </si>
  <si>
    <t xml:space="preserve">- Spielversion: Handbuch</t>
  </si>
  <si>
    <t xml:space="preserve">- Friedliche Variante: Aus</t>
  </si>
  <si>
    <t xml:space="preserve">- Freundliche Variante: an</t>
  </si>
  <si>
    <t xml:space="preserve">Tableau 1</t>
  </si>
  <si>
    <t xml:space="preserve">Mama Jess &amp; 
Papa Gary</t>
  </si>
  <si>
    <t xml:space="preserve">Mama Margarete &amp; 
Papa Josh</t>
  </si>
  <si>
    <t xml:space="preserve">2023 Season 5</t>
  </si>
  <si>
    <t xml:space="preserve">Angemeldete Spieler für 2023_S5</t>
  </si>
  <si>
    <t xml:space="preserve">Rang
aus
S4</t>
  </si>
  <si>
    <t xml:space="preserve">Anmeldung für 
2023_S6</t>
  </si>
  <si>
    <t xml:space="preserve">Gesamtanzahl Spieler 2023_S5:</t>
  </si>
  <si>
    <t xml:space="preserve">Neuanmeldungen für 2023_S6</t>
  </si>
  <si>
    <t xml:space="preserve">Tim Haunz</t>
  </si>
  <si>
    <t xml:space="preserve">Feuterim</t>
  </si>
  <si>
    <t xml:space="preserve">- Seite des Spielbretts:  Der Vogeltempel (Standard)</t>
  </si>
  <si>
    <t xml:space="preserve">Die verlorenen Ruinen
 von Arnak</t>
  </si>
  <si>
    <t xml:space="preserve">Welcome to…</t>
  </si>
  <si>
    <t xml:space="preserve">- Fortgeschrittene Variante: Ja</t>
  </si>
  <si>
    <t xml:space="preserve">- Expertenregeln: Nein</t>
  </si>
  <si>
    <t xml:space="preserve">- Brett/Erweiterung: Normale Variante</t>
  </si>
  <si>
    <t xml:space="preserve">Duellant</t>
  </si>
  <si>
    <t xml:space="preserve">Anzahl übriger 
Essenzen, Gold zählt doppelt: 1</t>
  </si>
  <si>
    <t xml:space="preserve">Anzahl übriger 
Essenzen, Gold zählt doppelt: 4</t>
  </si>
  <si>
    <t xml:space="preserve">Terra Mystica</t>
  </si>
  <si>
    <t xml:space="preserve">- Spielbrett: Grundspiel</t>
  </si>
  <si>
    <t xml:space="preserve">Blood Rage</t>
  </si>
  <si>
    <t xml:space="preserve">- Völkertableau: Völker werden in Spielerreihenfolge ausgewählt</t>
  </si>
  <si>
    <t xml:space="preserve">- Start-Siegpunkte: Standard-Versteigerung</t>
  </si>
  <si>
    <t xml:space="preserve">- Zugreihenfolge: Variable Zugreihenfolge</t>
  </si>
  <si>
    <t xml:space="preserve">- Mini-Erweiterungen: An</t>
  </si>
  <si>
    <t xml:space="preserve">- Sonderlandschaften Erweiterung: An</t>
  </si>
  <si>
    <t xml:space="preserve">- Feuer und Eis - Endwertungsplättchen: Aus</t>
  </si>
  <si>
    <t xml:space="preserve">- Feuer und Eis - Völker: Aus</t>
  </si>
  <si>
    <t xml:space="preserve">- Fan-Völker: Aus</t>
  </si>
  <si>
    <t xml:space="preserve">Through the Ages: 
Eine neue Geschichte der Zivilisation</t>
  </si>
  <si>
    <t xml:space="preserve">- Kartenweitergabe (Draft) Modus: Kein Draft</t>
  </si>
  <si>
    <t xml:space="preserve">- Spielversion: Expertenspiel</t>
  </si>
  <si>
    <t xml:space="preserve">Giganten</t>
  </si>
  <si>
    <t xml:space="preserve">Hexen</t>
  </si>
  <si>
    <t xml:space="preserve">Düsterlinge</t>
  </si>
  <si>
    <t xml:space="preserve">Nixen</t>
  </si>
  <si>
    <t xml:space="preserve">Great Western Trail</t>
  </si>
  <si>
    <t xml:space="preserve">- Startplättchen: Draft</t>
  </si>
  <si>
    <t xml:space="preserve">Architekten des Westfrankenreichs</t>
  </si>
  <si>
    <t xml:space="preserve">- Seite des Spielertableaus: Asymmetrische Seite</t>
  </si>
  <si>
    <t xml:space="preserve">- Punktestand anzeigen: Aus</t>
  </si>
  <si>
    <t xml:space="preserve">- Ausgabe: 1. Auflage (2016)</t>
  </si>
  <si>
    <t xml:space="preserve">- Spielaufbau: Standard-Spiel</t>
  </si>
  <si>
    <t xml:space="preserve">- Rails to the North - Erweiterung: An</t>
  </si>
  <si>
    <t xml:space="preserve">- Gebot für die Zugreihenfolge: Aus</t>
  </si>
  <si>
    <t xml:space="preserve">- Livewertung: Aus</t>
  </si>
  <si>
    <t xml:space="preserve">Die höchsten Gesamtwerte aller 3 Siegbedingungen: 11</t>
  </si>
  <si>
    <t xml:space="preserve">Die höchsten Gesamtwerte aller 3 Siegbedingungen: 17</t>
  </si>
  <si>
    <t xml:space="preserve">Rudolf</t>
  </si>
  <si>
    <t xml:space="preserve">Frederick</t>
  </si>
  <si>
    <t xml:space="preserve">Caroline</t>
  </si>
  <si>
    <t xml:space="preserve">Lothar</t>
  </si>
  <si>
    <t xml:space="preserve">GESAMTWERTUNG 2023</t>
  </si>
  <si>
    <t xml:space="preserve">Stand nach 5 von 12 Seasons</t>
  </si>
  <si>
    <t xml:space="preserve">Rang</t>
  </si>
  <si>
    <t xml:space="preserve">Nickname 
BGA</t>
  </si>
  <si>
    <t xml:space="preserve">Nickname 
Yucata</t>
  </si>
  <si>
    <t xml:space="preserve">Sieger(in) L1</t>
  </si>
  <si>
    <t xml:space="preserve">Zweite(r) L1</t>
  </si>
  <si>
    <t xml:space="preserve">Dritte(r) L1</t>
  </si>
  <si>
    <t xml:space="preserve">Vierte(r) L1</t>
  </si>
  <si>
    <t xml:space="preserve">Sieger(in) L2</t>
  </si>
  <si>
    <t xml:space="preserve">Zweite(r) L2</t>
  </si>
  <si>
    <t xml:space="preserve">Dritte(r) L2</t>
  </si>
  <si>
    <t xml:space="preserve">Vierte(r) L2</t>
  </si>
  <si>
    <t xml:space="preserve">Sieger(in) L3</t>
  </si>
  <si>
    <t xml:space="preserve">Zweite(r) L3</t>
  </si>
  <si>
    <t xml:space="preserve">Dritte(r) L3</t>
  </si>
  <si>
    <t xml:space="preserve">Vierte(r) L3</t>
  </si>
  <si>
    <t xml:space="preserve">Sieger(in) L4</t>
  </si>
  <si>
    <t xml:space="preserve">Zweite(r) L4</t>
  </si>
  <si>
    <t xml:space="preserve">Dritte(r) L4</t>
  </si>
  <si>
    <t xml:space="preserve">Vierte(r) L4</t>
  </si>
  <si>
    <t xml:space="preserve">3
(S1, S2, S4)</t>
  </si>
  <si>
    <t xml:space="preserve">1
(S3)</t>
  </si>
  <si>
    <t xml:space="preserve">1
(S5)</t>
  </si>
  <si>
    <t xml:space="preserve">1
(S1)</t>
  </si>
  <si>
    <t xml:space="preserve">1
(S4)</t>
  </si>
  <si>
    <t xml:space="preserve">1
(S2)</t>
  </si>
  <si>
    <t xml:space="preserve">2
(S2, S5)</t>
  </si>
  <si>
    <t xml:space="preserve">2
(S1, S5)</t>
  </si>
  <si>
    <t xml:space="preserve">2
(S2, S3)</t>
  </si>
  <si>
    <t xml:space="preserve">2
(S4, S5)</t>
  </si>
  <si>
    <t xml:space="preserve">3
(S1, S2, S3)</t>
  </si>
  <si>
    <t xml:space="preserve">Jan Unland </t>
  </si>
  <si>
    <t xml:space="preserve">2
(S1, S2)</t>
  </si>
  <si>
    <t xml:space="preserve">Übersicht der gewählten Spiele pro Spieler sortiert nach BGA-Nickname</t>
  </si>
  <si>
    <t xml:space="preserve">BGA-Nick:</t>
  </si>
  <si>
    <t xml:space="preserve">Name:</t>
  </si>
  <si>
    <t xml:space="preserve">Gewähltes Spiel</t>
  </si>
  <si>
    <t xml:space="preserve">Season</t>
  </si>
  <si>
    <t xml:space="preserve">Anzahl</t>
  </si>
  <si>
    <t xml:space="preserve">S1</t>
  </si>
  <si>
    <t xml:space="preserve">S2</t>
  </si>
  <si>
    <t xml:space="preserve">S3</t>
  </si>
  <si>
    <t xml:space="preserve">S4</t>
  </si>
  <si>
    <t xml:space="preserve">S5</t>
  </si>
  <si>
    <t xml:space="preserve">S3, S4</t>
  </si>
  <si>
    <t xml:space="preserve">S4, S5</t>
  </si>
  <si>
    <t xml:space="preserve">S1, S5</t>
  </si>
  <si>
    <t xml:space="preserve">S2, S3</t>
  </si>
  <si>
    <t xml:space="preserve">S2, S3, S5</t>
  </si>
  <si>
    <t xml:space="preserve">Schiebe zu Beginn des Spiels deinen Schild um 2 Schritte nach rechts.</t>
  </si>
  <si>
    <t xml:space="preserve">Deine Götter starten alle in der Reihe, die der Spieleranzahl entspricht. Nach Ausführen ihrer Sonderaktion setzt du sie wieder auf die Reihe, die der Spieleranzahl entspricht, anstatt auf die unterste Reihe.</t>
  </si>
  <si>
    <t xml:space="preserve">Schiffsplättchen 3</t>
  </si>
  <si>
    <t xml:space="preserve">Die Reichweite deines Schiffes ist um 2 Felder höher.</t>
  </si>
  <si>
    <t xml:space="preserve">Jedes Mal, wenn du mindestens 1 Gunstplättchen erhälst, nimmst du 1 Gunstplättchen zusätzlich. Das gilt auch schon bei der Augabe der Gunstplättchen bei Spielbeginn.</t>
  </si>
  <si>
    <t xml:space="preserve">Lege zu Beginn des Spiels 1 Zeusplättchen ab, ohne die Belohnung zu nehmen. Du hast also nur 11 Aufgaben zu erfüllen anstatt 12.</t>
  </si>
  <si>
    <t xml:space="preserve">Das Umfärben eines Orakelwürfels kostet dich 1 Gunstplättchen weniger als üblich.</t>
  </si>
  <si>
    <t xml:space="preserve">Nimm zu Beginn des Spiels 1 Ausrüstungskarte aus der Auslage und nimm 1 Orakelkarte vom Nachziehstapel.</t>
  </si>
  <si>
    <t xml:space="preserve">Du darfst deine Orakelwürfel auch gegen den Uhrzeigersinn umfärben. Außerdem hast du 2 zusätzliche Lagerplätze.</t>
  </si>
</sst>
</file>

<file path=xl/styles.xml><?xml version="1.0" encoding="utf-8"?>
<styleSheet xmlns="http://schemas.openxmlformats.org/spreadsheetml/2006/main">
  <numFmts count="7">
    <numFmt numFmtId="164" formatCode="General"/>
    <numFmt numFmtId="165" formatCode="General"/>
    <numFmt numFmtId="166" formatCode="@"/>
    <numFmt numFmtId="167" formatCode="0.000"/>
    <numFmt numFmtId="168" formatCode="0.00"/>
    <numFmt numFmtId="169" formatCode="0"/>
    <numFmt numFmtId="170" formatCode="0.0"/>
  </numFmts>
  <fonts count="14">
    <font>
      <sz val="11"/>
      <color rgb="FF000000"/>
      <name val="Calibri"/>
      <family val="2"/>
      <charset val="1"/>
    </font>
    <font>
      <sz val="10"/>
      <name val="Arial"/>
      <family val="0"/>
    </font>
    <font>
      <sz val="10"/>
      <name val="Arial"/>
      <family val="0"/>
    </font>
    <font>
      <sz val="10"/>
      <name val="Arial"/>
      <family val="0"/>
    </font>
    <font>
      <sz val="26"/>
      <color rgb="FF000000"/>
      <name val="Calibri"/>
      <family val="2"/>
      <charset val="1"/>
    </font>
    <font>
      <b val="true"/>
      <sz val="11"/>
      <color rgb="FF000000"/>
      <name val="Calibri"/>
      <family val="2"/>
      <charset val="1"/>
    </font>
    <font>
      <sz val="11"/>
      <name val="Calibri"/>
      <family val="2"/>
      <charset val="1"/>
    </font>
    <font>
      <b val="true"/>
      <sz val="24"/>
      <color rgb="FF000000"/>
      <name val="Calibri"/>
      <family val="2"/>
      <charset val="1"/>
    </font>
    <font>
      <sz val="11"/>
      <color rgb="FFFF0000"/>
      <name val="Calibri"/>
      <family val="2"/>
      <charset val="1"/>
    </font>
    <font>
      <b val="true"/>
      <sz val="11"/>
      <name val="Calibri"/>
      <family val="2"/>
      <charset val="1"/>
    </font>
    <font>
      <b val="true"/>
      <sz val="18"/>
      <color rgb="FF000000"/>
      <name val="Calibri"/>
      <family val="2"/>
      <charset val="1"/>
    </font>
    <font>
      <sz val="36"/>
      <color rgb="FF000000"/>
      <name val="Calibri"/>
      <family val="2"/>
      <charset val="1"/>
    </font>
    <font>
      <b val="true"/>
      <sz val="16"/>
      <name val="Calibri"/>
      <family val="2"/>
      <charset val="1"/>
    </font>
    <font>
      <sz val="16"/>
      <name val="Calibri"/>
      <family val="2"/>
      <charset val="1"/>
    </font>
  </fonts>
  <fills count="13">
    <fill>
      <patternFill patternType="none"/>
    </fill>
    <fill>
      <patternFill patternType="gray125"/>
    </fill>
    <fill>
      <patternFill patternType="solid">
        <fgColor rgb="FFFFC000"/>
        <bgColor rgb="FFFFCC00"/>
      </patternFill>
    </fill>
    <fill>
      <patternFill patternType="solid">
        <fgColor rgb="FFFFFF00"/>
        <bgColor rgb="FFFFFF00"/>
      </patternFill>
    </fill>
    <fill>
      <patternFill patternType="solid">
        <fgColor rgb="FF000000"/>
        <bgColor rgb="FF003300"/>
      </patternFill>
    </fill>
    <fill>
      <patternFill patternType="solid">
        <fgColor rgb="FF92D050"/>
        <bgColor rgb="FFB2B2B2"/>
      </patternFill>
    </fill>
    <fill>
      <patternFill patternType="solid">
        <fgColor rgb="FFFF33CC"/>
        <bgColor rgb="FFFF00FF"/>
      </patternFill>
    </fill>
    <fill>
      <patternFill patternType="solid">
        <fgColor rgb="FF00B0F0"/>
        <bgColor rgb="FF33CCCC"/>
      </patternFill>
    </fill>
    <fill>
      <patternFill patternType="solid">
        <fgColor rgb="FFFF0000"/>
        <bgColor rgb="FF993300"/>
      </patternFill>
    </fill>
    <fill>
      <patternFill patternType="solid">
        <fgColor rgb="FF00FF00"/>
        <bgColor rgb="FF33CCCC"/>
      </patternFill>
    </fill>
    <fill>
      <patternFill patternType="solid">
        <fgColor rgb="FFFFCC00"/>
        <bgColor rgb="FFFFC000"/>
      </patternFill>
    </fill>
    <fill>
      <patternFill patternType="solid">
        <fgColor rgb="FFB2B2B2"/>
        <bgColor rgb="FF969696"/>
      </patternFill>
    </fill>
    <fill>
      <patternFill patternType="solid">
        <fgColor rgb="FFCC6600"/>
        <bgColor rgb="FF808000"/>
      </patternFill>
    </fill>
  </fills>
  <borders count="65">
    <border diagonalUp="false" diagonalDown="false">
      <left/>
      <right/>
      <top/>
      <bottom/>
      <diagonal/>
    </border>
    <border diagonalUp="false" diagonalDown="false">
      <left style="medium"/>
      <right style="medium"/>
      <top style="medium"/>
      <bottom style="medium"/>
      <diagonal/>
    </border>
    <border diagonalUp="false" diagonalDown="false">
      <left style="medium"/>
      <right style="medium"/>
      <top style="medium"/>
      <bottom/>
      <diagonal/>
    </border>
    <border diagonalUp="false" diagonalDown="false">
      <left/>
      <right style="medium"/>
      <top style="medium"/>
      <bottom/>
      <diagonal/>
    </border>
    <border diagonalUp="false" diagonalDown="false">
      <left style="medium"/>
      <right/>
      <top style="medium"/>
      <bottom/>
      <diagonal/>
    </border>
    <border diagonalUp="false" diagonalDown="false">
      <left style="medium"/>
      <right style="thin"/>
      <top style="medium"/>
      <bottom style="thin"/>
      <diagonal/>
    </border>
    <border diagonalUp="false" diagonalDown="false">
      <left style="thin"/>
      <right style="thin"/>
      <top style="medium"/>
      <bottom style="thin"/>
      <diagonal/>
    </border>
    <border diagonalUp="false" diagonalDown="false">
      <left style="thin"/>
      <right style="medium"/>
      <top style="medium"/>
      <bottom style="thin"/>
      <diagonal/>
    </border>
    <border diagonalUp="false" diagonalDown="false">
      <left style="thin"/>
      <right style="thin"/>
      <top style="medium"/>
      <bottom style="medium"/>
      <diagonal/>
    </border>
    <border diagonalUp="false" diagonalDown="false">
      <left style="medium"/>
      <right style="thin"/>
      <top style="thin"/>
      <bottom style="thin"/>
      <diagonal/>
    </border>
    <border diagonalUp="false" diagonalDown="false">
      <left style="thin"/>
      <right style="thin"/>
      <top style="thin"/>
      <bottom style="thin"/>
      <diagonal/>
    </border>
    <border diagonalUp="false" diagonalDown="false">
      <left style="thin"/>
      <right style="medium"/>
      <top style="thin"/>
      <bottom style="thin"/>
      <diagonal/>
    </border>
    <border diagonalUp="false" diagonalDown="false">
      <left style="medium"/>
      <right style="thin"/>
      <top style="thin"/>
      <bottom/>
      <diagonal/>
    </border>
    <border diagonalUp="false" diagonalDown="false">
      <left style="thin"/>
      <right style="medium"/>
      <top style="thin"/>
      <bottom/>
      <diagonal/>
    </border>
    <border diagonalUp="false" diagonalDown="false">
      <left style="thin"/>
      <right style="thin"/>
      <top style="medium"/>
      <bottom/>
      <diagonal/>
    </border>
    <border diagonalUp="false" diagonalDown="false">
      <left style="medium"/>
      <right style="thin"/>
      <top style="thin"/>
      <bottom style="medium"/>
      <diagonal/>
    </border>
    <border diagonalUp="false" diagonalDown="false">
      <left style="thin"/>
      <right style="thin"/>
      <top style="thin"/>
      <bottom style="medium"/>
      <diagonal/>
    </border>
    <border diagonalUp="false" diagonalDown="false">
      <left style="thin"/>
      <right style="medium"/>
      <top style="thin"/>
      <bottom style="medium"/>
      <diagonal/>
    </border>
    <border diagonalUp="false" diagonalDown="false">
      <left style="medium"/>
      <right style="medium"/>
      <top/>
      <bottom style="medium"/>
      <diagonal/>
    </border>
    <border diagonalUp="false" diagonalDown="false">
      <left style="thin"/>
      <right style="medium"/>
      <top style="medium"/>
      <bottom/>
      <diagonal/>
    </border>
    <border diagonalUp="false" diagonalDown="false">
      <left style="medium"/>
      <right style="medium"/>
      <top style="medium"/>
      <bottom style="thin"/>
      <diagonal/>
    </border>
    <border diagonalUp="false" diagonalDown="false">
      <left style="thin"/>
      <right style="medium"/>
      <top/>
      <bottom/>
      <diagonal/>
    </border>
    <border diagonalUp="false" diagonalDown="false">
      <left style="thin"/>
      <right style="medium"/>
      <top/>
      <bottom style="thin"/>
      <diagonal/>
    </border>
    <border diagonalUp="false" diagonalDown="false">
      <left style="thin"/>
      <right/>
      <top style="thin"/>
      <bottom style="thin"/>
      <diagonal/>
    </border>
    <border diagonalUp="false" diagonalDown="false">
      <left/>
      <right style="medium"/>
      <top style="thin"/>
      <bottom style="thin"/>
      <diagonal/>
    </border>
    <border diagonalUp="false" diagonalDown="false">
      <left/>
      <right style="thin"/>
      <top style="thin"/>
      <bottom style="thin"/>
      <diagonal/>
    </border>
    <border diagonalUp="false" diagonalDown="false">
      <left style="thin"/>
      <right style="thin"/>
      <top style="thin"/>
      <bottom/>
      <diagonal/>
    </border>
    <border diagonalUp="false" diagonalDown="false">
      <left style="thin"/>
      <right/>
      <top style="thin"/>
      <bottom/>
      <diagonal/>
    </border>
    <border diagonalUp="false" diagonalDown="false">
      <left/>
      <right style="medium"/>
      <top style="thin"/>
      <bottom/>
      <diagonal/>
    </border>
    <border diagonalUp="false" diagonalDown="false">
      <left/>
      <right style="thin"/>
      <top style="thin"/>
      <bottom/>
      <diagonal/>
    </border>
    <border diagonalUp="false" diagonalDown="false">
      <left/>
      <right style="medium"/>
      <top style="thin"/>
      <bottom style="medium"/>
      <diagonal/>
    </border>
    <border diagonalUp="false" diagonalDown="false">
      <left/>
      <right style="thin"/>
      <top style="thin"/>
      <bottom style="medium"/>
      <diagonal/>
    </border>
    <border diagonalUp="false" diagonalDown="false">
      <left style="thin"/>
      <right style="medium"/>
      <top/>
      <bottom style="medium"/>
      <diagonal/>
    </border>
    <border diagonalUp="false" diagonalDown="false">
      <left/>
      <right/>
      <top/>
      <bottom style="medium"/>
      <diagonal/>
    </border>
    <border diagonalUp="false" diagonalDown="false">
      <left/>
      <right/>
      <top style="medium"/>
      <bottom/>
      <diagonal/>
    </border>
    <border diagonalUp="false" diagonalDown="false">
      <left/>
      <right style="thin"/>
      <top style="medium"/>
      <bottom style="thin"/>
      <diagonal/>
    </border>
    <border diagonalUp="false" diagonalDown="false">
      <left style="medium"/>
      <right style="medium"/>
      <top style="thin"/>
      <bottom style="thin"/>
      <diagonal/>
    </border>
    <border diagonalUp="false" diagonalDown="false">
      <left style="medium"/>
      <right style="medium"/>
      <top style="thin"/>
      <bottom style="medium"/>
      <diagonal/>
    </border>
    <border diagonalUp="false" diagonalDown="false">
      <left style="medium"/>
      <right/>
      <top/>
      <bottom style="medium"/>
      <diagonal/>
    </border>
    <border diagonalUp="false" diagonalDown="false">
      <left/>
      <right style="medium"/>
      <top/>
      <bottom style="medium"/>
      <diagonal/>
    </border>
    <border diagonalUp="false" diagonalDown="false">
      <left/>
      <right style="medium"/>
      <top style="medium"/>
      <bottom style="medium"/>
      <diagonal/>
    </border>
    <border diagonalUp="false" diagonalDown="false">
      <left style="medium"/>
      <right style="medium"/>
      <top/>
      <bottom/>
      <diagonal/>
    </border>
    <border diagonalUp="false" diagonalDown="false">
      <left/>
      <right style="medium"/>
      <top/>
      <bottom/>
      <diagonal/>
    </border>
    <border diagonalUp="false" diagonalDown="false">
      <left/>
      <right style="medium"/>
      <top style="medium"/>
      <bottom style="thin"/>
      <diagonal/>
    </border>
    <border diagonalUp="false" diagonalDown="false">
      <left style="thin"/>
      <right/>
      <top style="thin"/>
      <bottom style="medium"/>
      <diagonal/>
    </border>
    <border diagonalUp="false" diagonalDown="false">
      <left style="thin"/>
      <right/>
      <top style="medium"/>
      <bottom style="thin"/>
      <diagonal/>
    </border>
    <border diagonalUp="false" diagonalDown="false">
      <left style="medium"/>
      <right style="thin"/>
      <top/>
      <bottom style="thin"/>
      <diagonal/>
    </border>
    <border diagonalUp="false" diagonalDown="false">
      <left style="thin"/>
      <right style="thin"/>
      <top/>
      <bottom/>
      <diagonal/>
    </border>
    <border diagonalUp="false" diagonalDown="false">
      <left style="medium"/>
      <right style="thin"/>
      <top style="medium"/>
      <bottom style="medium"/>
      <diagonal/>
    </border>
    <border diagonalUp="false" diagonalDown="false">
      <left style="thin"/>
      <right style="medium"/>
      <top style="medium"/>
      <bottom style="medium"/>
      <diagonal/>
    </border>
    <border diagonalUp="false" diagonalDown="false">
      <left style="medium"/>
      <right style="thin"/>
      <top/>
      <bottom/>
      <diagonal/>
    </border>
    <border diagonalUp="false" diagonalDown="false">
      <left style="thin"/>
      <right/>
      <top/>
      <bottom/>
      <diagonal/>
    </border>
    <border diagonalUp="false" diagonalDown="false">
      <left/>
      <right style="thin"/>
      <top/>
      <bottom/>
      <diagonal/>
    </border>
    <border diagonalUp="false" diagonalDown="false">
      <left style="medium"/>
      <right style="medium"/>
      <top style="thin"/>
      <bottom/>
      <diagonal/>
    </border>
    <border diagonalUp="false" diagonalDown="false">
      <left/>
      <right/>
      <top style="thin"/>
      <bottom/>
      <diagonal/>
    </border>
    <border diagonalUp="false" diagonalDown="false">
      <left style="medium"/>
      <right style="thin"/>
      <top style="medium"/>
      <bottom/>
      <diagonal/>
    </border>
    <border diagonalUp="false" diagonalDown="false">
      <left style="thin"/>
      <right/>
      <top style="medium"/>
      <bottom/>
      <diagonal/>
    </border>
    <border diagonalUp="false" diagonalDown="false">
      <left/>
      <right style="thin"/>
      <top style="medium"/>
      <bottom/>
      <diagonal/>
    </border>
    <border diagonalUp="false" diagonalDown="false">
      <left/>
      <right/>
      <top style="thin"/>
      <bottom style="thin"/>
      <diagonal/>
    </border>
    <border diagonalUp="false" diagonalDown="false">
      <left/>
      <right/>
      <top style="thin"/>
      <bottom style="medium"/>
      <diagonal/>
    </border>
    <border diagonalUp="false" diagonalDown="false">
      <left style="medium"/>
      <right/>
      <top style="thin"/>
      <bottom style="medium"/>
      <diagonal/>
    </border>
    <border diagonalUp="false" diagonalDown="false">
      <left/>
      <right/>
      <top style="medium"/>
      <bottom style="thin"/>
      <diagonal/>
    </border>
    <border diagonalUp="false" diagonalDown="false">
      <left style="medium"/>
      <right/>
      <top style="medium"/>
      <bottom style="medium"/>
      <diagonal/>
    </border>
    <border diagonalUp="false" diagonalDown="false">
      <left/>
      <right/>
      <top style="medium"/>
      <bottom style="medium"/>
      <diagonal/>
    </border>
    <border diagonalUp="false" diagonalDown="false">
      <left style="thin"/>
      <right style="thin"/>
      <top/>
      <bottom style="thin"/>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597">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center" textRotation="0" wrapText="false" indent="0" shrinkToFit="false"/>
      <protection locked="true" hidden="false"/>
    </xf>
    <xf numFmtId="164" fontId="4" fillId="2" borderId="0" xfId="0" applyFont="true" applyBorder="true" applyAlignment="true" applyProtection="false">
      <alignment horizontal="center" vertical="center" textRotation="0" wrapText="false" indent="0" shrinkToFit="false"/>
      <protection locked="true" hidden="false"/>
    </xf>
    <xf numFmtId="164" fontId="5" fillId="3" borderId="1" xfId="0" applyFont="true" applyBorder="true" applyAlignment="true" applyProtection="false">
      <alignment horizontal="center" vertical="center" textRotation="0" wrapText="false" indent="0" shrinkToFit="false"/>
      <protection locked="true" hidden="false"/>
    </xf>
    <xf numFmtId="164" fontId="5" fillId="0" borderId="0" xfId="0" applyFont="true" applyBorder="false" applyAlignment="true" applyProtection="false">
      <alignment horizontal="general" vertical="center" textRotation="0" wrapText="false" indent="0" shrinkToFit="false"/>
      <protection locked="true" hidden="false"/>
    </xf>
    <xf numFmtId="164" fontId="5" fillId="0" borderId="0" xfId="0" applyFont="true" applyBorder="false" applyAlignment="true" applyProtection="false">
      <alignment horizontal="center" vertical="center" textRotation="0" wrapText="false" indent="0" shrinkToFit="false"/>
      <protection locked="true" hidden="false"/>
    </xf>
    <xf numFmtId="164" fontId="5" fillId="0" borderId="2" xfId="0" applyFont="true" applyBorder="true" applyAlignment="true" applyProtection="false">
      <alignment horizontal="center" vertical="center" textRotation="0" wrapText="true" indent="0" shrinkToFit="false"/>
      <protection locked="true" hidden="false"/>
    </xf>
    <xf numFmtId="164" fontId="5" fillId="0" borderId="2" xfId="0" applyFont="true" applyBorder="true" applyAlignment="true" applyProtection="false">
      <alignment horizontal="left" vertical="center" textRotation="0" wrapText="false" indent="0" shrinkToFit="false"/>
      <protection locked="true" hidden="false"/>
    </xf>
    <xf numFmtId="164" fontId="5" fillId="0" borderId="2" xfId="0" applyFont="true" applyBorder="true" applyAlignment="true" applyProtection="false">
      <alignment horizontal="general" vertical="center" textRotation="0" wrapText="true" indent="0" shrinkToFit="false"/>
      <protection locked="true" hidden="false"/>
    </xf>
    <xf numFmtId="164" fontId="5" fillId="0" borderId="3" xfId="0" applyFont="true" applyBorder="true" applyAlignment="true" applyProtection="false">
      <alignment horizontal="general" vertical="center" textRotation="0" wrapText="true" indent="0" shrinkToFit="false"/>
      <protection locked="true" hidden="false"/>
    </xf>
    <xf numFmtId="164" fontId="5" fillId="0" borderId="4" xfId="0" applyFont="true" applyBorder="true" applyAlignment="true" applyProtection="false">
      <alignment horizontal="general" vertical="center" textRotation="0" wrapText="false" indent="0" shrinkToFit="false"/>
      <protection locked="true" hidden="false"/>
    </xf>
    <xf numFmtId="164" fontId="5" fillId="0" borderId="1" xfId="0" applyFont="true" applyBorder="true" applyAlignment="true" applyProtection="false">
      <alignment horizontal="center" vertical="center" textRotation="0" wrapText="true" indent="0" shrinkToFit="false"/>
      <protection locked="true" hidden="false"/>
    </xf>
    <xf numFmtId="164" fontId="5" fillId="0" borderId="3" xfId="0" applyFont="true" applyBorder="true" applyAlignment="true" applyProtection="false">
      <alignment horizontal="center" vertical="center" textRotation="0" wrapText="false" indent="0" shrinkToFit="false"/>
      <protection locked="true" hidden="false"/>
    </xf>
    <xf numFmtId="164" fontId="0" fillId="0" borderId="5" xfId="0" applyFont="false" applyBorder="true" applyAlignment="true" applyProtection="false">
      <alignment horizontal="center" vertical="center" textRotation="0" wrapText="false" indent="0" shrinkToFit="false"/>
      <protection locked="true" hidden="false"/>
    </xf>
    <xf numFmtId="164" fontId="6" fillId="0" borderId="6" xfId="0" applyFont="true" applyBorder="true" applyAlignment="true" applyProtection="false">
      <alignment horizontal="left" vertical="center" textRotation="0" wrapText="false" indent="0" shrinkToFit="false"/>
      <protection locked="true" hidden="false"/>
    </xf>
    <xf numFmtId="164" fontId="0" fillId="0" borderId="6" xfId="0" applyFont="true" applyBorder="true" applyAlignment="true" applyProtection="false">
      <alignment horizontal="left" vertical="center" textRotation="0" wrapText="true" indent="0" shrinkToFit="false"/>
      <protection locked="true" hidden="false"/>
    </xf>
    <xf numFmtId="164" fontId="0" fillId="0" borderId="6" xfId="0" applyFont="true" applyBorder="true" applyAlignment="true" applyProtection="false">
      <alignment horizontal="left" vertical="center" textRotation="0" wrapText="false" indent="0" shrinkToFit="false"/>
      <protection locked="true" hidden="false"/>
    </xf>
    <xf numFmtId="164" fontId="6" fillId="0" borderId="7" xfId="0" applyFont="true" applyBorder="true" applyAlignment="true" applyProtection="false">
      <alignment horizontal="left" vertical="center" textRotation="0" wrapText="false" indent="0" shrinkToFit="false"/>
      <protection locked="true" hidden="false"/>
    </xf>
    <xf numFmtId="165" fontId="0" fillId="0" borderId="5" xfId="0" applyFont="false" applyBorder="true" applyAlignment="true" applyProtection="false">
      <alignment horizontal="general" vertical="center" textRotation="0" wrapText="false" indent="0" shrinkToFit="false"/>
      <protection locked="true" hidden="false"/>
    </xf>
    <xf numFmtId="164" fontId="0" fillId="0" borderId="8" xfId="0" applyFont="false" applyBorder="true" applyAlignment="true" applyProtection="false">
      <alignment horizontal="center" vertical="center" textRotation="0" wrapText="false" indent="0" shrinkToFit="false"/>
      <protection locked="true" hidden="false"/>
    </xf>
    <xf numFmtId="164" fontId="0" fillId="0" borderId="7" xfId="0" applyFont="false" applyBorder="true" applyAlignment="true" applyProtection="false">
      <alignment horizontal="center" vertical="center" textRotation="0" wrapText="false" indent="0" shrinkToFit="false"/>
      <protection locked="true" hidden="false"/>
    </xf>
    <xf numFmtId="164" fontId="0" fillId="0" borderId="0" xfId="0" applyFont="false" applyBorder="false" applyAlignment="true" applyProtection="false">
      <alignment horizontal="center" vertical="center" textRotation="0" wrapText="false" indent="0" shrinkToFit="false"/>
      <protection locked="true" hidden="false"/>
    </xf>
    <xf numFmtId="164" fontId="0" fillId="0" borderId="9" xfId="0" applyFont="false" applyBorder="true" applyAlignment="true" applyProtection="false">
      <alignment horizontal="center" vertical="center" textRotation="0" wrapText="false" indent="0" shrinkToFit="false"/>
      <protection locked="true" hidden="false"/>
    </xf>
    <xf numFmtId="164" fontId="0" fillId="0" borderId="10" xfId="0" applyFont="true" applyBorder="true" applyAlignment="true" applyProtection="false">
      <alignment horizontal="left" vertical="center" textRotation="0" wrapText="false" indent="0" shrinkToFit="false"/>
      <protection locked="true" hidden="false"/>
    </xf>
    <xf numFmtId="164" fontId="6" fillId="0" borderId="11" xfId="0" applyFont="true" applyBorder="true" applyAlignment="true" applyProtection="false">
      <alignment horizontal="left" vertical="center" textRotation="0" wrapText="false" indent="0" shrinkToFit="false"/>
      <protection locked="true" hidden="false"/>
    </xf>
    <xf numFmtId="165" fontId="0" fillId="0" borderId="9" xfId="0" applyFont="false" applyBorder="true" applyAlignment="true" applyProtection="false">
      <alignment horizontal="general" vertical="center" textRotation="0" wrapText="false" indent="0" shrinkToFit="false"/>
      <protection locked="true" hidden="false"/>
    </xf>
    <xf numFmtId="164" fontId="0" fillId="0" borderId="11" xfId="0" applyFont="false" applyBorder="true" applyAlignment="true" applyProtection="false">
      <alignment horizontal="center" vertical="center" textRotation="0" wrapText="false" indent="0" shrinkToFit="false"/>
      <protection locked="true" hidden="false"/>
    </xf>
    <xf numFmtId="165" fontId="0" fillId="0" borderId="12" xfId="0" applyFont="false" applyBorder="true" applyAlignment="true" applyProtection="false">
      <alignment horizontal="general" vertical="center" textRotation="0" wrapText="false" indent="0" shrinkToFit="false"/>
      <protection locked="true" hidden="false"/>
    </xf>
    <xf numFmtId="164" fontId="0" fillId="0" borderId="13" xfId="0" applyFont="false" applyBorder="true" applyAlignment="true" applyProtection="false">
      <alignment horizontal="center" vertical="center" textRotation="0" wrapText="false" indent="0" shrinkToFit="false"/>
      <protection locked="true" hidden="false"/>
    </xf>
    <xf numFmtId="164" fontId="6" fillId="0" borderId="10" xfId="0" applyFont="true" applyBorder="true" applyAlignment="true" applyProtection="false">
      <alignment horizontal="left" vertical="center" textRotation="0" wrapText="false" indent="0" shrinkToFit="false"/>
      <protection locked="true" hidden="false"/>
    </xf>
    <xf numFmtId="164" fontId="6" fillId="0" borderId="10" xfId="0" applyFont="true" applyBorder="true" applyAlignment="true" applyProtection="false">
      <alignment horizontal="left" vertical="center" textRotation="0" wrapText="true" indent="0" shrinkToFit="false"/>
      <protection locked="true" hidden="false"/>
    </xf>
    <xf numFmtId="164" fontId="0" fillId="0" borderId="14" xfId="0" applyFont="false" applyBorder="true" applyAlignment="true" applyProtection="false">
      <alignment horizontal="center" vertical="center" textRotation="0" wrapText="false" indent="0" shrinkToFit="false"/>
      <protection locked="true" hidden="false"/>
    </xf>
    <xf numFmtId="164" fontId="0" fillId="0" borderId="10" xfId="0" applyFont="true" applyBorder="true" applyAlignment="true" applyProtection="false">
      <alignment horizontal="left" vertical="center" textRotation="0" wrapText="true" indent="0" shrinkToFit="false"/>
      <protection locked="true" hidden="false"/>
    </xf>
    <xf numFmtId="164" fontId="6" fillId="0" borderId="10" xfId="0" applyFont="true" applyBorder="true" applyAlignment="true" applyProtection="false">
      <alignment horizontal="general" vertical="center" textRotation="0" wrapText="false" indent="0" shrinkToFit="false"/>
      <protection locked="true" hidden="false"/>
    </xf>
    <xf numFmtId="164" fontId="0" fillId="0" borderId="10" xfId="0" applyFont="true" applyBorder="true" applyAlignment="true" applyProtection="false">
      <alignment horizontal="general" vertical="center" textRotation="0" wrapText="false" indent="0" shrinkToFit="false"/>
      <protection locked="true" hidden="false"/>
    </xf>
    <xf numFmtId="164" fontId="6" fillId="0" borderId="11" xfId="0" applyFont="true" applyBorder="true" applyAlignment="true" applyProtection="false">
      <alignment horizontal="general" vertical="center" textRotation="0" wrapText="false" indent="0" shrinkToFit="false"/>
      <protection locked="true" hidden="false"/>
    </xf>
    <xf numFmtId="165" fontId="0" fillId="0" borderId="9" xfId="0" applyFont="false" applyBorder="true" applyAlignment="true" applyProtection="false">
      <alignment horizontal="left" vertical="center" textRotation="0" wrapText="false" indent="0" shrinkToFit="false"/>
      <protection locked="true" hidden="false"/>
    </xf>
    <xf numFmtId="164" fontId="0" fillId="0" borderId="15" xfId="0" applyFont="false" applyBorder="true" applyAlignment="true" applyProtection="false">
      <alignment horizontal="center" vertical="center" textRotation="0" wrapText="false" indent="0" shrinkToFit="false"/>
      <protection locked="true" hidden="false"/>
    </xf>
    <xf numFmtId="164" fontId="6" fillId="0" borderId="16" xfId="0" applyFont="true" applyBorder="true" applyAlignment="true" applyProtection="false">
      <alignment horizontal="general" vertical="center" textRotation="0" wrapText="false" indent="0" shrinkToFit="false"/>
      <protection locked="true" hidden="false"/>
    </xf>
    <xf numFmtId="164" fontId="6" fillId="0" borderId="16" xfId="0" applyFont="true" applyBorder="true" applyAlignment="true" applyProtection="false">
      <alignment horizontal="left" vertical="center" textRotation="0" wrapText="false" indent="0" shrinkToFit="false"/>
      <protection locked="true" hidden="false"/>
    </xf>
    <xf numFmtId="164" fontId="0" fillId="0" borderId="16" xfId="0" applyFont="true" applyBorder="true" applyAlignment="true" applyProtection="false">
      <alignment horizontal="left" vertical="center" textRotation="0" wrapText="true" indent="0" shrinkToFit="false"/>
      <protection locked="true" hidden="false"/>
    </xf>
    <xf numFmtId="164" fontId="0" fillId="0" borderId="16" xfId="0" applyFont="true" applyBorder="true" applyAlignment="true" applyProtection="false">
      <alignment horizontal="general" vertical="center" textRotation="0" wrapText="false" indent="0" shrinkToFit="false"/>
      <protection locked="true" hidden="false"/>
    </xf>
    <xf numFmtId="164" fontId="6" fillId="0" borderId="17" xfId="0" applyFont="true" applyBorder="true" applyAlignment="true" applyProtection="false">
      <alignment horizontal="left" vertical="center" textRotation="0" wrapText="false" indent="0" shrinkToFit="false"/>
      <protection locked="true" hidden="false"/>
    </xf>
    <xf numFmtId="165" fontId="0" fillId="0" borderId="15" xfId="0" applyFont="false" applyBorder="true" applyAlignment="true" applyProtection="false">
      <alignment horizontal="left" vertical="center" textRotation="0" wrapText="false" indent="0" shrinkToFit="false"/>
      <protection locked="true" hidden="false"/>
    </xf>
    <xf numFmtId="164" fontId="0" fillId="0" borderId="17" xfId="0" applyFont="false" applyBorder="true" applyAlignment="true" applyProtection="false">
      <alignment horizontal="center"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false" indent="0" shrinkToFit="false"/>
      <protection locked="true" hidden="false"/>
    </xf>
    <xf numFmtId="164" fontId="6" fillId="0" borderId="0" xfId="0" applyFont="true" applyBorder="false" applyAlignment="true" applyProtection="false">
      <alignment horizontal="general" vertical="center" textRotation="0" wrapText="false" indent="0" shrinkToFit="false"/>
      <protection locked="true" hidden="false"/>
    </xf>
    <xf numFmtId="164" fontId="5" fillId="2" borderId="18" xfId="0" applyFont="true" applyBorder="true" applyAlignment="true" applyProtection="false">
      <alignment horizontal="right" vertical="center" textRotation="0" wrapText="false" indent="0" shrinkToFit="false"/>
      <protection locked="true" hidden="false"/>
    </xf>
    <xf numFmtId="165" fontId="5" fillId="2" borderId="18" xfId="0" applyFont="true" applyBorder="true" applyAlignment="true" applyProtection="false">
      <alignment horizontal="center" vertical="center" textRotation="0" wrapText="false" indent="0" shrinkToFit="false"/>
      <protection locked="true" hidden="false"/>
    </xf>
    <xf numFmtId="164" fontId="5" fillId="0" borderId="0" xfId="0" applyFont="true" applyBorder="false" applyAlignment="true" applyProtection="false">
      <alignment horizontal="right" vertical="center" textRotation="0" wrapText="false" indent="0" shrinkToFit="false"/>
      <protection locked="true" hidden="false"/>
    </xf>
    <xf numFmtId="164" fontId="5" fillId="0" borderId="4" xfId="0" applyFont="true" applyBorder="true" applyAlignment="true" applyProtection="false">
      <alignment horizontal="left" vertical="center" textRotation="0" wrapText="false" indent="0" shrinkToFit="false"/>
      <protection locked="true" hidden="false"/>
    </xf>
    <xf numFmtId="164" fontId="0" fillId="0" borderId="5" xfId="0" applyFont="false" applyBorder="true" applyAlignment="true" applyProtection="false">
      <alignment horizontal="center" vertical="center" textRotation="0" wrapText="true" indent="0" shrinkToFit="false"/>
      <protection locked="true" hidden="false"/>
    </xf>
    <xf numFmtId="164" fontId="6" fillId="0" borderId="6" xfId="0" applyFont="true" applyBorder="true" applyAlignment="true" applyProtection="false">
      <alignment horizontal="general" vertical="center" textRotation="0" wrapText="false" indent="0" shrinkToFit="false"/>
      <protection locked="true" hidden="false"/>
    </xf>
    <xf numFmtId="164" fontId="0" fillId="0" borderId="7" xfId="0" applyFont="true" applyBorder="true" applyAlignment="true" applyProtection="false">
      <alignment horizontal="general" vertical="center" textRotation="0" wrapText="false" indent="0" shrinkToFit="false"/>
      <protection locked="true" hidden="false"/>
    </xf>
    <xf numFmtId="164" fontId="0" fillId="0" borderId="15" xfId="0" applyFont="false" applyBorder="true" applyAlignment="true" applyProtection="false">
      <alignment horizontal="center" vertical="center" textRotation="0" wrapText="true" indent="0" shrinkToFit="false"/>
      <protection locked="true" hidden="false"/>
    </xf>
    <xf numFmtId="164" fontId="0" fillId="0" borderId="17" xfId="0" applyFont="true" applyBorder="true" applyAlignment="true" applyProtection="false">
      <alignment horizontal="general" vertical="center" textRotation="0" wrapText="false" indent="0" shrinkToFit="false"/>
      <protection locked="true" hidden="false"/>
    </xf>
    <xf numFmtId="164" fontId="0" fillId="4" borderId="0" xfId="0" applyFont="false" applyBorder="false" applyAlignment="true" applyProtection="false">
      <alignment horizontal="general" vertical="center" textRotation="0" wrapText="false" indent="0" shrinkToFit="false"/>
      <protection locked="true" hidden="false"/>
    </xf>
    <xf numFmtId="164" fontId="5" fillId="4" borderId="0" xfId="0" applyFont="true" applyBorder="false" applyAlignment="true" applyProtection="false">
      <alignment horizontal="left" vertical="center" textRotation="0" wrapText="false" indent="0" shrinkToFit="false"/>
      <protection locked="true" hidden="false"/>
    </xf>
    <xf numFmtId="164" fontId="7" fillId="3" borderId="0" xfId="0" applyFont="true" applyBorder="true" applyAlignment="true" applyProtection="false">
      <alignment horizontal="center" vertical="center" textRotation="0" wrapText="false" indent="0" shrinkToFit="false"/>
      <protection locked="true" hidden="false"/>
    </xf>
    <xf numFmtId="166" fontId="5" fillId="0" borderId="4" xfId="0" applyFont="true" applyBorder="true" applyAlignment="true" applyProtection="false">
      <alignment horizontal="center" vertical="center" textRotation="0" wrapText="false" indent="0" shrinkToFit="false"/>
      <protection locked="true" hidden="false"/>
    </xf>
    <xf numFmtId="166" fontId="5" fillId="0" borderId="2" xfId="0" applyFont="true" applyBorder="true" applyAlignment="true" applyProtection="false">
      <alignment horizontal="center" vertical="center" textRotation="0" wrapText="true" indent="0" shrinkToFit="false"/>
      <protection locked="true" hidden="false"/>
    </xf>
    <xf numFmtId="166" fontId="5" fillId="0" borderId="2" xfId="0" applyFont="true" applyBorder="true" applyAlignment="true" applyProtection="false">
      <alignment horizontal="center" vertical="center" textRotation="0" wrapText="false" indent="0" shrinkToFit="false"/>
      <protection locked="true" hidden="false"/>
    </xf>
    <xf numFmtId="166" fontId="5" fillId="0" borderId="1" xfId="0" applyFont="true" applyBorder="true" applyAlignment="true" applyProtection="false">
      <alignment horizontal="center" vertical="center" textRotation="0" wrapText="true" indent="0" shrinkToFit="false"/>
      <protection locked="true" hidden="false"/>
    </xf>
    <xf numFmtId="166" fontId="5" fillId="0" borderId="1" xfId="0" applyFont="true" applyBorder="true" applyAlignment="true" applyProtection="false">
      <alignment horizontal="general" vertical="center" textRotation="0" wrapText="false" indent="0" shrinkToFit="false"/>
      <protection locked="true" hidden="false"/>
    </xf>
    <xf numFmtId="166" fontId="5" fillId="0" borderId="1" xfId="0" applyFont="true" applyBorder="true" applyAlignment="true" applyProtection="false">
      <alignment horizontal="center" vertical="center" textRotation="0" wrapText="false" indent="0" shrinkToFit="false"/>
      <protection locked="true" hidden="false"/>
    </xf>
    <xf numFmtId="166" fontId="5" fillId="0" borderId="2" xfId="0" applyFont="true" applyBorder="true" applyAlignment="true" applyProtection="false">
      <alignment horizontal="general" vertical="center" textRotation="0" wrapText="false" indent="0" shrinkToFit="false"/>
      <protection locked="true" hidden="false"/>
    </xf>
    <xf numFmtId="166" fontId="5" fillId="0" borderId="3" xfId="0" applyFont="true" applyBorder="true" applyAlignment="true" applyProtection="false">
      <alignment horizontal="general" vertical="center" textRotation="0" wrapText="false" indent="0" shrinkToFit="false"/>
      <protection locked="true" hidden="false"/>
    </xf>
    <xf numFmtId="164" fontId="6" fillId="0" borderId="5" xfId="0" applyFont="true" applyBorder="true" applyAlignment="true" applyProtection="false">
      <alignment horizontal="left" vertical="center" textRotation="0" wrapText="false" indent="0" shrinkToFit="false"/>
      <protection locked="true" hidden="false"/>
    </xf>
    <xf numFmtId="166" fontId="0" fillId="5" borderId="5" xfId="0" applyFont="true" applyBorder="true" applyAlignment="true" applyProtection="false">
      <alignment horizontal="left" vertical="center" textRotation="0" wrapText="false" indent="0" shrinkToFit="false"/>
      <protection locked="true" hidden="false"/>
    </xf>
    <xf numFmtId="166" fontId="0" fillId="5" borderId="6" xfId="0" applyFont="true" applyBorder="true" applyAlignment="true" applyProtection="false">
      <alignment horizontal="left" vertical="center" textRotation="0" wrapText="true" indent="0" shrinkToFit="false"/>
      <protection locked="true" hidden="false"/>
    </xf>
    <xf numFmtId="166" fontId="0" fillId="5" borderId="19" xfId="0" applyFont="true" applyBorder="true" applyAlignment="true" applyProtection="false">
      <alignment horizontal="left" vertical="center" textRotation="0" wrapText="true" indent="0" shrinkToFit="false"/>
      <protection locked="true" hidden="false"/>
    </xf>
    <xf numFmtId="166" fontId="0" fillId="6" borderId="20" xfId="0" applyFont="true" applyBorder="true" applyAlignment="true" applyProtection="false">
      <alignment horizontal="left" vertical="center" textRotation="0" wrapText="false" indent="0" shrinkToFit="false"/>
      <protection locked="true" hidden="false"/>
    </xf>
    <xf numFmtId="166" fontId="0" fillId="0" borderId="5" xfId="0" applyFont="true" applyBorder="true" applyAlignment="true" applyProtection="false">
      <alignment horizontal="left" vertical="center" textRotation="0" wrapText="false" indent="0" shrinkToFit="false"/>
      <protection locked="true" hidden="false"/>
    </xf>
    <xf numFmtId="166" fontId="0" fillId="0" borderId="6" xfId="0" applyFont="true" applyBorder="true" applyAlignment="true" applyProtection="false">
      <alignment horizontal="left" vertical="center" textRotation="0" wrapText="false" indent="0" shrinkToFit="false"/>
      <protection locked="true" hidden="false"/>
    </xf>
    <xf numFmtId="166" fontId="0" fillId="0" borderId="7" xfId="0" applyFont="true" applyBorder="true" applyAlignment="true" applyProtection="false">
      <alignment horizontal="left" vertical="center" textRotation="0" wrapText="false" indent="0" shrinkToFit="false"/>
      <protection locked="true" hidden="false"/>
    </xf>
    <xf numFmtId="166" fontId="0" fillId="5" borderId="21" xfId="0" applyFont="true" applyBorder="true" applyAlignment="true" applyProtection="false">
      <alignment horizontal="left" vertical="center" textRotation="0" wrapText="true" indent="0" shrinkToFit="false"/>
      <protection locked="true" hidden="false"/>
    </xf>
    <xf numFmtId="166" fontId="0" fillId="5" borderId="22" xfId="0" applyFont="true" applyBorder="true" applyAlignment="true" applyProtection="false">
      <alignment horizontal="left" vertical="center" textRotation="0" wrapText="true" indent="0" shrinkToFit="false"/>
      <protection locked="true" hidden="false"/>
    </xf>
    <xf numFmtId="164" fontId="6" fillId="0" borderId="9" xfId="0" applyFont="true" applyBorder="true" applyAlignment="true" applyProtection="false">
      <alignment horizontal="left" vertical="center" textRotation="0" wrapText="false" indent="0" shrinkToFit="false"/>
      <protection locked="true" hidden="false"/>
    </xf>
    <xf numFmtId="166" fontId="0" fillId="7" borderId="9" xfId="0" applyFont="true" applyBorder="true" applyAlignment="true" applyProtection="false">
      <alignment horizontal="left" vertical="center" textRotation="0" wrapText="false" indent="0" shrinkToFit="false"/>
      <protection locked="true" hidden="false"/>
    </xf>
    <xf numFmtId="166" fontId="0" fillId="7" borderId="23" xfId="0" applyFont="true" applyBorder="true" applyAlignment="true" applyProtection="false">
      <alignment horizontal="left" vertical="center" textRotation="0" wrapText="true" indent="0" shrinkToFit="false"/>
      <protection locked="true" hidden="false"/>
    </xf>
    <xf numFmtId="166" fontId="0" fillId="7" borderId="13" xfId="0" applyFont="true" applyBorder="true" applyAlignment="true" applyProtection="false">
      <alignment horizontal="left" vertical="center" textRotation="0" wrapText="true" indent="0" shrinkToFit="false"/>
      <protection locked="true" hidden="false"/>
    </xf>
    <xf numFmtId="166" fontId="0" fillId="8" borderId="24" xfId="0" applyFont="true" applyBorder="true" applyAlignment="true" applyProtection="false">
      <alignment horizontal="left" vertical="center" textRotation="0" wrapText="true" indent="0" shrinkToFit="false"/>
      <protection locked="true" hidden="false"/>
    </xf>
    <xf numFmtId="166" fontId="0" fillId="0" borderId="25" xfId="0" applyFont="true" applyBorder="true" applyAlignment="true" applyProtection="false">
      <alignment horizontal="left" vertical="center" textRotation="0" wrapText="false" indent="0" shrinkToFit="false"/>
      <protection locked="true" hidden="false"/>
    </xf>
    <xf numFmtId="166" fontId="0" fillId="0" borderId="10" xfId="0" applyFont="true" applyBorder="true" applyAlignment="true" applyProtection="false">
      <alignment horizontal="left" vertical="center" textRotation="0" wrapText="true" indent="0" shrinkToFit="false"/>
      <protection locked="true" hidden="false"/>
    </xf>
    <xf numFmtId="166" fontId="0" fillId="0" borderId="11" xfId="0" applyFont="true" applyBorder="true" applyAlignment="true" applyProtection="false">
      <alignment horizontal="left" vertical="center" textRotation="0" wrapText="true" indent="0" shrinkToFit="false"/>
      <protection locked="true" hidden="false"/>
    </xf>
    <xf numFmtId="166" fontId="0" fillId="7" borderId="21" xfId="0" applyFont="true" applyBorder="true" applyAlignment="true" applyProtection="false">
      <alignment horizontal="left" vertical="center" textRotation="0" wrapText="true" indent="0" shrinkToFit="false"/>
      <protection locked="true" hidden="false"/>
    </xf>
    <xf numFmtId="166" fontId="0" fillId="7" borderId="22" xfId="0" applyFont="true" applyBorder="true" applyAlignment="true" applyProtection="false">
      <alignment horizontal="left" vertical="center" textRotation="0" wrapText="true" indent="0" shrinkToFit="false"/>
      <protection locked="true" hidden="false"/>
    </xf>
    <xf numFmtId="164" fontId="0" fillId="0" borderId="12" xfId="0" applyFont="true" applyBorder="true" applyAlignment="true" applyProtection="false">
      <alignment horizontal="left" vertical="center" textRotation="0" wrapText="false" indent="0" shrinkToFit="false"/>
      <protection locked="true" hidden="false"/>
    </xf>
    <xf numFmtId="164" fontId="6" fillId="0" borderId="26" xfId="0" applyFont="true" applyBorder="true" applyAlignment="true" applyProtection="false">
      <alignment horizontal="left" vertical="center" textRotation="0" wrapText="false" indent="0" shrinkToFit="false"/>
      <protection locked="true" hidden="false"/>
    </xf>
    <xf numFmtId="166" fontId="0" fillId="8" borderId="12" xfId="0" applyFont="true" applyBorder="true" applyAlignment="true" applyProtection="false">
      <alignment horizontal="left" vertical="center" textRotation="0" wrapText="true" indent="0" shrinkToFit="false"/>
      <protection locked="true" hidden="false"/>
    </xf>
    <xf numFmtId="166" fontId="0" fillId="8" borderId="27" xfId="0" applyFont="true" applyBorder="true" applyAlignment="true" applyProtection="false">
      <alignment horizontal="left" vertical="center" textRotation="0" wrapText="true" indent="0" shrinkToFit="false"/>
      <protection locked="true" hidden="false"/>
    </xf>
    <xf numFmtId="166" fontId="0" fillId="8" borderId="13" xfId="0" applyFont="true" applyBorder="true" applyAlignment="true" applyProtection="false">
      <alignment horizontal="left" vertical="center" textRotation="0" wrapText="true" indent="0" shrinkToFit="false"/>
      <protection locked="true" hidden="false"/>
    </xf>
    <xf numFmtId="166" fontId="0" fillId="6" borderId="28" xfId="0" applyFont="true" applyBorder="true" applyAlignment="true" applyProtection="false">
      <alignment horizontal="left" vertical="center" textRotation="0" wrapText="false" indent="0" shrinkToFit="false"/>
      <protection locked="true" hidden="false"/>
    </xf>
    <xf numFmtId="166" fontId="0" fillId="8" borderId="29" xfId="0" applyFont="true" applyBorder="true" applyAlignment="true" applyProtection="false">
      <alignment horizontal="left" vertical="center" textRotation="0" wrapText="false" indent="0" shrinkToFit="false"/>
      <protection locked="true" hidden="false"/>
    </xf>
    <xf numFmtId="166" fontId="0" fillId="8" borderId="26" xfId="0" applyFont="true" applyBorder="true" applyAlignment="true" applyProtection="false">
      <alignment horizontal="left" vertical="center" textRotation="0" wrapText="true" indent="0" shrinkToFit="false"/>
      <protection locked="true" hidden="false"/>
    </xf>
    <xf numFmtId="166" fontId="0" fillId="8" borderId="11" xfId="0" applyFont="true" applyBorder="true" applyAlignment="true" applyProtection="false">
      <alignment horizontal="left" vertical="center" textRotation="0" wrapText="true" indent="0" shrinkToFit="false"/>
      <protection locked="true" hidden="false"/>
    </xf>
    <xf numFmtId="166" fontId="0" fillId="8" borderId="21" xfId="0" applyFont="true" applyBorder="true" applyAlignment="true" applyProtection="false">
      <alignment horizontal="left" vertical="center" textRotation="0" wrapText="true" indent="0" shrinkToFit="false"/>
      <protection locked="true" hidden="false"/>
    </xf>
    <xf numFmtId="164" fontId="0" fillId="0" borderId="15" xfId="0" applyFont="true" applyBorder="true" applyAlignment="true" applyProtection="false">
      <alignment horizontal="left" vertical="center" textRotation="0" wrapText="false" indent="0" shrinkToFit="false"/>
      <protection locked="true" hidden="false"/>
    </xf>
    <xf numFmtId="164" fontId="0" fillId="0" borderId="30" xfId="0" applyFont="false" applyBorder="true" applyAlignment="true" applyProtection="false">
      <alignment horizontal="center" vertical="center" textRotation="0" wrapText="false" indent="0" shrinkToFit="false"/>
      <protection locked="true" hidden="false"/>
    </xf>
    <xf numFmtId="166" fontId="0" fillId="6" borderId="15" xfId="0" applyFont="true" applyBorder="true" applyAlignment="true" applyProtection="false">
      <alignment horizontal="left" vertical="center" textRotation="0" wrapText="true" indent="0" shrinkToFit="false"/>
      <protection locked="true" hidden="false"/>
    </xf>
    <xf numFmtId="166" fontId="0" fillId="6" borderId="31" xfId="0" applyFont="true" applyBorder="true" applyAlignment="true" applyProtection="false">
      <alignment horizontal="left" vertical="center" textRotation="0" wrapText="true" indent="0" shrinkToFit="false"/>
      <protection locked="true" hidden="false"/>
    </xf>
    <xf numFmtId="166" fontId="0" fillId="6" borderId="13" xfId="0" applyFont="true" applyBorder="true" applyAlignment="true" applyProtection="false">
      <alignment horizontal="left" vertical="center" textRotation="0" wrapText="true" indent="0" shrinkToFit="false"/>
      <protection locked="true" hidden="false"/>
    </xf>
    <xf numFmtId="166" fontId="0" fillId="8" borderId="30" xfId="0" applyFont="true" applyBorder="true" applyAlignment="true" applyProtection="false">
      <alignment horizontal="left" vertical="center" textRotation="0" wrapText="false" indent="0" shrinkToFit="false"/>
      <protection locked="true" hidden="false"/>
    </xf>
    <xf numFmtId="166" fontId="0" fillId="6" borderId="21" xfId="0" applyFont="true" applyBorder="true" applyAlignment="true" applyProtection="false">
      <alignment horizontal="left" vertical="center" textRotation="0" wrapText="true" indent="0" shrinkToFit="false"/>
      <protection locked="true" hidden="false"/>
    </xf>
    <xf numFmtId="166" fontId="0" fillId="6" borderId="32" xfId="0" applyFont="false" applyBorder="true" applyAlignment="true" applyProtection="false">
      <alignment horizontal="left" vertical="center" textRotation="0" wrapText="true" indent="0" shrinkToFit="false"/>
      <protection locked="true" hidden="false"/>
    </xf>
    <xf numFmtId="166" fontId="0" fillId="6" borderId="32" xfId="0" applyFont="true" applyBorder="true" applyAlignment="true" applyProtection="false">
      <alignment horizontal="left" vertical="center" textRotation="0" wrapText="true" indent="0" shrinkToFit="false"/>
      <protection locked="true" hidden="false"/>
    </xf>
    <xf numFmtId="164" fontId="0" fillId="5" borderId="0" xfId="0" applyFont="false" applyBorder="false" applyAlignment="true" applyProtection="false">
      <alignment horizontal="general" vertical="center" textRotation="0" wrapText="false" indent="0" shrinkToFit="false"/>
      <protection locked="true" hidden="false"/>
    </xf>
    <xf numFmtId="165" fontId="5" fillId="5" borderId="33" xfId="0" applyFont="true" applyBorder="true" applyAlignment="true" applyProtection="false">
      <alignment horizontal="center" vertical="center" textRotation="0" wrapText="false" indent="0" shrinkToFit="false"/>
      <protection locked="true" hidden="false"/>
    </xf>
    <xf numFmtId="164" fontId="5" fillId="5" borderId="0" xfId="0" applyFont="true" applyBorder="false" applyAlignment="true" applyProtection="false">
      <alignment horizontal="center" vertical="center" textRotation="0" wrapText="false" indent="0" shrinkToFit="false"/>
      <protection locked="true" hidden="false"/>
    </xf>
    <xf numFmtId="166" fontId="5" fillId="0" borderId="2" xfId="0" applyFont="true" applyBorder="true" applyAlignment="true" applyProtection="false">
      <alignment horizontal="general" vertical="center" textRotation="0" wrapText="true" indent="0" shrinkToFit="false"/>
      <protection locked="true" hidden="false"/>
    </xf>
    <xf numFmtId="166" fontId="5" fillId="0" borderId="34" xfId="0" applyFont="true" applyBorder="true" applyAlignment="true" applyProtection="false">
      <alignment horizontal="center" vertical="center" textRotation="0" wrapText="true" indent="0" shrinkToFit="false"/>
      <protection locked="true" hidden="false"/>
    </xf>
    <xf numFmtId="166" fontId="5" fillId="0" borderId="3" xfId="0" applyFont="true" applyBorder="true" applyAlignment="true" applyProtection="false">
      <alignment horizontal="center" vertical="center" textRotation="0" wrapText="false" indent="0" shrinkToFit="false"/>
      <protection locked="true" hidden="false"/>
    </xf>
    <xf numFmtId="164" fontId="5" fillId="0" borderId="4" xfId="0" applyFont="true" applyBorder="true" applyAlignment="true" applyProtection="false">
      <alignment horizontal="center" vertical="center" textRotation="0" wrapText="false" indent="0" shrinkToFit="false"/>
      <protection locked="true" hidden="false"/>
    </xf>
    <xf numFmtId="164" fontId="5" fillId="0" borderId="2" xfId="0" applyFont="true" applyBorder="true" applyAlignment="true" applyProtection="false">
      <alignment horizontal="center" vertical="center" textRotation="0" wrapText="false" indent="0" shrinkToFit="false"/>
      <protection locked="true" hidden="false"/>
    </xf>
    <xf numFmtId="164" fontId="0" fillId="0" borderId="6" xfId="0" applyFont="false" applyBorder="true" applyAlignment="true" applyProtection="false">
      <alignment horizontal="center" vertical="center" textRotation="0" wrapText="false" indent="0" shrinkToFit="false"/>
      <protection locked="true" hidden="false"/>
    </xf>
    <xf numFmtId="167" fontId="0" fillId="0" borderId="6" xfId="0" applyFont="false" applyBorder="true" applyAlignment="true" applyProtection="false">
      <alignment horizontal="center" vertical="center" textRotation="0" wrapText="false" indent="0" shrinkToFit="false"/>
      <protection locked="true" hidden="false"/>
    </xf>
    <xf numFmtId="165" fontId="0" fillId="0" borderId="35" xfId="0" applyFont="false" applyBorder="true" applyAlignment="true" applyProtection="false">
      <alignment horizontal="center" vertical="center" textRotation="0" wrapText="false" indent="0" shrinkToFit="false"/>
      <protection locked="true" hidden="false"/>
    </xf>
    <xf numFmtId="165" fontId="0" fillId="0" borderId="5" xfId="0" applyFont="false" applyBorder="true" applyAlignment="true" applyProtection="false">
      <alignment horizontal="center" vertical="center" textRotation="0" wrapText="false" indent="0" shrinkToFit="false"/>
      <protection locked="true" hidden="false"/>
    </xf>
    <xf numFmtId="165" fontId="0" fillId="0" borderId="20" xfId="0" applyFont="false" applyBorder="true" applyAlignment="true" applyProtection="false">
      <alignment horizontal="center" vertical="center" textRotation="0" wrapText="false" indent="0" shrinkToFit="false"/>
      <protection locked="true" hidden="false"/>
    </xf>
    <xf numFmtId="164" fontId="0" fillId="5" borderId="0" xfId="0" applyFont="false" applyBorder="false" applyAlignment="true" applyProtection="false">
      <alignment horizontal="center" vertical="center" textRotation="0" wrapText="false" indent="0" shrinkToFit="false"/>
      <protection locked="true" hidden="false"/>
    </xf>
    <xf numFmtId="164" fontId="0" fillId="0" borderId="9" xfId="0" applyFont="true" applyBorder="true" applyAlignment="true" applyProtection="false">
      <alignment horizontal="left" vertical="center" textRotation="0" wrapText="false" indent="0" shrinkToFit="false"/>
      <protection locked="true" hidden="false"/>
    </xf>
    <xf numFmtId="164" fontId="0" fillId="0" borderId="10" xfId="0" applyFont="false" applyBorder="true" applyAlignment="true" applyProtection="false">
      <alignment horizontal="center" vertical="center" textRotation="0" wrapText="false" indent="0" shrinkToFit="false"/>
      <protection locked="true" hidden="false"/>
    </xf>
    <xf numFmtId="167" fontId="0" fillId="0" borderId="10" xfId="0" applyFont="false" applyBorder="true" applyAlignment="true" applyProtection="false">
      <alignment horizontal="center" vertical="center" textRotation="0" wrapText="false" indent="0" shrinkToFit="false"/>
      <protection locked="true" hidden="false"/>
    </xf>
    <xf numFmtId="165" fontId="0" fillId="0" borderId="25" xfId="0" applyFont="false" applyBorder="true" applyAlignment="true" applyProtection="false">
      <alignment horizontal="center" vertical="center" textRotation="0" wrapText="false" indent="0" shrinkToFit="false"/>
      <protection locked="true" hidden="false"/>
    </xf>
    <xf numFmtId="165" fontId="0" fillId="0" borderId="9" xfId="0" applyFont="false" applyBorder="true" applyAlignment="true" applyProtection="false">
      <alignment horizontal="center" vertical="center" textRotation="0" wrapText="false" indent="0" shrinkToFit="false"/>
      <protection locked="true" hidden="false"/>
    </xf>
    <xf numFmtId="165" fontId="0" fillId="0" borderId="36" xfId="0" applyFont="false" applyBorder="true" applyAlignment="true" applyProtection="false">
      <alignment horizontal="center" vertical="center" textRotation="0" wrapText="false" indent="0" shrinkToFit="false"/>
      <protection locked="true" hidden="false"/>
    </xf>
    <xf numFmtId="164" fontId="8" fillId="0" borderId="9" xfId="0" applyFont="true" applyBorder="true" applyAlignment="true" applyProtection="false">
      <alignment horizontal="left" vertical="center" textRotation="0" wrapText="false" indent="0" shrinkToFit="false"/>
      <protection locked="true" hidden="false"/>
    </xf>
    <xf numFmtId="164" fontId="8" fillId="0" borderId="10" xfId="0" applyFont="true" applyBorder="true" applyAlignment="true" applyProtection="false">
      <alignment horizontal="left" vertical="center" textRotation="0" wrapText="false" indent="0" shrinkToFit="false"/>
      <protection locked="true" hidden="false"/>
    </xf>
    <xf numFmtId="164" fontId="8" fillId="0" borderId="10" xfId="0" applyFont="true" applyBorder="true" applyAlignment="true" applyProtection="false">
      <alignment horizontal="center" vertical="center" textRotation="0" wrapText="false" indent="0" shrinkToFit="false"/>
      <protection locked="true" hidden="false"/>
    </xf>
    <xf numFmtId="167" fontId="8" fillId="0" borderId="10" xfId="0" applyFont="true" applyBorder="true" applyAlignment="true" applyProtection="false">
      <alignment horizontal="center" vertical="center" textRotation="0" wrapText="false" indent="0" shrinkToFit="false"/>
      <protection locked="true" hidden="false"/>
    </xf>
    <xf numFmtId="164" fontId="8" fillId="0" borderId="11" xfId="0" applyFont="true" applyBorder="true" applyAlignment="true" applyProtection="false">
      <alignment horizontal="center" vertical="center" textRotation="0" wrapText="false" indent="0" shrinkToFit="false"/>
      <protection locked="true" hidden="false"/>
    </xf>
    <xf numFmtId="164" fontId="6" fillId="5" borderId="0" xfId="0" applyFont="true" applyBorder="false" applyAlignment="true" applyProtection="false">
      <alignment horizontal="general" vertical="center" textRotation="0" wrapText="false" indent="0" shrinkToFit="false"/>
      <protection locked="true" hidden="false"/>
    </xf>
    <xf numFmtId="164" fontId="0" fillId="0" borderId="16" xfId="0" applyFont="true" applyBorder="true" applyAlignment="true" applyProtection="false">
      <alignment horizontal="left" vertical="center" textRotation="0" wrapText="false" indent="0" shrinkToFit="false"/>
      <protection locked="true" hidden="false"/>
    </xf>
    <xf numFmtId="164" fontId="0" fillId="0" borderId="16" xfId="0" applyFont="false" applyBorder="true" applyAlignment="true" applyProtection="false">
      <alignment horizontal="center" vertical="center" textRotation="0" wrapText="false" indent="0" shrinkToFit="false"/>
      <protection locked="true" hidden="false"/>
    </xf>
    <xf numFmtId="167" fontId="0" fillId="0" borderId="16" xfId="0" applyFont="false" applyBorder="true" applyAlignment="true" applyProtection="false">
      <alignment horizontal="center" vertical="center" textRotation="0" wrapText="false" indent="0" shrinkToFit="false"/>
      <protection locked="true" hidden="false"/>
    </xf>
    <xf numFmtId="165" fontId="0" fillId="0" borderId="31" xfId="0" applyFont="false" applyBorder="true" applyAlignment="true" applyProtection="false">
      <alignment horizontal="center" vertical="center" textRotation="0" wrapText="false" indent="0" shrinkToFit="false"/>
      <protection locked="true" hidden="false"/>
    </xf>
    <xf numFmtId="165" fontId="0" fillId="0" borderId="15" xfId="0" applyFont="false" applyBorder="true" applyAlignment="true" applyProtection="false">
      <alignment horizontal="center" vertical="center" textRotation="0" wrapText="false" indent="0" shrinkToFit="false"/>
      <protection locked="true" hidden="false"/>
    </xf>
    <xf numFmtId="165" fontId="0" fillId="0" borderId="37" xfId="0" applyFont="false" applyBorder="true" applyAlignment="true" applyProtection="false">
      <alignment horizontal="center" vertical="center" textRotation="0" wrapText="false" indent="0" shrinkToFit="false"/>
      <protection locked="true" hidden="false"/>
    </xf>
    <xf numFmtId="164" fontId="8" fillId="5" borderId="0" xfId="0" applyFont="true" applyBorder="false" applyAlignment="true" applyProtection="false">
      <alignment horizontal="general" vertical="center" textRotation="0" wrapText="false" indent="0" shrinkToFit="false"/>
      <protection locked="true" hidden="false"/>
    </xf>
    <xf numFmtId="164" fontId="0" fillId="5" borderId="0" xfId="0" applyFont="false" applyBorder="true" applyAlignment="true" applyProtection="false">
      <alignment horizontal="center" vertical="center" textRotation="0" wrapText="false" indent="0" shrinkToFit="false"/>
      <protection locked="true" hidden="false"/>
    </xf>
    <xf numFmtId="164" fontId="5" fillId="0" borderId="38" xfId="0" applyFont="true" applyBorder="true" applyAlignment="true" applyProtection="false">
      <alignment horizontal="right" vertical="center" textRotation="0" wrapText="false" indent="0" shrinkToFit="false"/>
      <protection locked="true" hidden="false"/>
    </xf>
    <xf numFmtId="165" fontId="5" fillId="0" borderId="18" xfId="0" applyFont="true" applyBorder="true" applyAlignment="true" applyProtection="false">
      <alignment horizontal="center" vertical="center" textRotation="0" wrapText="false" indent="0" shrinkToFit="false"/>
      <protection locked="true" hidden="false"/>
    </xf>
    <xf numFmtId="167" fontId="8" fillId="5" borderId="0" xfId="0" applyFont="true" applyBorder="false" applyAlignment="true" applyProtection="false">
      <alignment horizontal="center" vertical="center" textRotation="0" wrapText="false" indent="0" shrinkToFit="false"/>
      <protection locked="true" hidden="false"/>
    </xf>
    <xf numFmtId="164" fontId="8" fillId="5" borderId="0" xfId="0" applyFont="true" applyBorder="false" applyAlignment="true" applyProtection="false">
      <alignment horizontal="center" vertical="center" textRotation="0" wrapText="false" indent="0" shrinkToFit="false"/>
      <protection locked="true" hidden="false"/>
    </xf>
    <xf numFmtId="164" fontId="9" fillId="0" borderId="18" xfId="0" applyFont="true" applyBorder="true" applyAlignment="true" applyProtection="false">
      <alignment horizontal="center" vertical="center" textRotation="0" wrapText="false" indent="0" shrinkToFit="false"/>
      <protection locked="true" hidden="false"/>
    </xf>
    <xf numFmtId="165" fontId="6" fillId="0" borderId="18" xfId="0" applyFont="true" applyBorder="true" applyAlignment="true" applyProtection="false">
      <alignment horizontal="center" vertical="center" textRotation="0" wrapText="false" indent="0" shrinkToFit="false"/>
      <protection locked="true" hidden="false"/>
    </xf>
    <xf numFmtId="165" fontId="6" fillId="0" borderId="33" xfId="0" applyFont="true" applyBorder="true" applyAlignment="true" applyProtection="false">
      <alignment horizontal="center" vertical="center" textRotation="0" wrapText="false" indent="0" shrinkToFit="false"/>
      <protection locked="true" hidden="false"/>
    </xf>
    <xf numFmtId="164" fontId="6" fillId="5" borderId="0" xfId="0" applyFont="true" applyBorder="false" applyAlignment="true" applyProtection="false">
      <alignment horizontal="center" vertical="center" textRotation="0" wrapText="false" indent="0" shrinkToFit="false"/>
      <protection locked="true" hidden="false"/>
    </xf>
    <xf numFmtId="164" fontId="5" fillId="5" borderId="0" xfId="0" applyFont="true" applyBorder="true" applyAlignment="true" applyProtection="false">
      <alignment horizontal="right" vertical="center" textRotation="0" wrapText="false" indent="0" shrinkToFit="false"/>
      <protection locked="true" hidden="false"/>
    </xf>
    <xf numFmtId="164" fontId="0" fillId="7" borderId="0" xfId="0" applyFont="false" applyBorder="false" applyAlignment="true" applyProtection="false">
      <alignment horizontal="general" vertical="center" textRotation="0" wrapText="false" indent="0" shrinkToFit="false"/>
      <protection locked="true" hidden="false"/>
    </xf>
    <xf numFmtId="165" fontId="5" fillId="7" borderId="33" xfId="0" applyFont="true" applyBorder="true" applyAlignment="true" applyProtection="false">
      <alignment horizontal="center" vertical="center" textRotation="0" wrapText="false" indent="0" shrinkToFit="false"/>
      <protection locked="true" hidden="false"/>
    </xf>
    <xf numFmtId="164" fontId="5" fillId="7" borderId="0" xfId="0" applyFont="true" applyBorder="false" applyAlignment="true" applyProtection="false">
      <alignment horizontal="center" vertical="center" textRotation="0" wrapText="false" indent="0" shrinkToFit="false"/>
      <protection locked="true" hidden="false"/>
    </xf>
    <xf numFmtId="164" fontId="0" fillId="7" borderId="0" xfId="0" applyFont="false" applyBorder="false" applyAlignment="true" applyProtection="false">
      <alignment horizontal="center" vertical="center" textRotation="0" wrapText="false" indent="0" shrinkToFit="false"/>
      <protection locked="true" hidden="false"/>
    </xf>
    <xf numFmtId="164" fontId="6" fillId="7" borderId="0" xfId="0" applyFont="true" applyBorder="false" applyAlignment="true" applyProtection="false">
      <alignment horizontal="general" vertical="center" textRotation="0" wrapText="false" indent="0" shrinkToFit="false"/>
      <protection locked="true" hidden="false"/>
    </xf>
    <xf numFmtId="164" fontId="0" fillId="0" borderId="16" xfId="0" applyFont="true" applyBorder="true" applyAlignment="true" applyProtection="false">
      <alignment horizontal="center" vertical="center" textRotation="0" wrapText="true" indent="0" shrinkToFit="false"/>
      <protection locked="true" hidden="false"/>
    </xf>
    <xf numFmtId="164" fontId="5" fillId="7" borderId="0" xfId="0" applyFont="true" applyBorder="true" applyAlignment="true" applyProtection="false">
      <alignment horizontal="center" vertical="center" textRotation="0" wrapText="false" indent="0" shrinkToFit="false"/>
      <protection locked="true" hidden="false"/>
    </xf>
    <xf numFmtId="164" fontId="5" fillId="0" borderId="38" xfId="0" applyFont="true" applyBorder="true" applyAlignment="true" applyProtection="false">
      <alignment horizontal="general" vertical="center" textRotation="0" wrapText="false" indent="0" shrinkToFit="false"/>
      <protection locked="true" hidden="false"/>
    </xf>
    <xf numFmtId="167" fontId="0" fillId="7" borderId="0" xfId="0" applyFont="false" applyBorder="false" applyAlignment="true" applyProtection="false">
      <alignment horizontal="center" vertical="center" textRotation="0" wrapText="false" indent="0" shrinkToFit="false"/>
      <protection locked="true" hidden="false"/>
    </xf>
    <xf numFmtId="165" fontId="6" fillId="0" borderId="39" xfId="0" applyFont="true" applyBorder="true" applyAlignment="true" applyProtection="false">
      <alignment horizontal="center" vertical="center" textRotation="0" wrapText="false" indent="0" shrinkToFit="false"/>
      <protection locked="true" hidden="false"/>
    </xf>
    <xf numFmtId="164" fontId="6" fillId="7" borderId="0" xfId="0" applyFont="true" applyBorder="false" applyAlignment="true" applyProtection="false">
      <alignment horizontal="center" vertical="center" textRotation="0" wrapText="false" indent="0" shrinkToFit="false"/>
      <protection locked="true" hidden="false"/>
    </xf>
    <xf numFmtId="168" fontId="0" fillId="0" borderId="0" xfId="0" applyFont="false" applyBorder="false" applyAlignment="true" applyProtection="false">
      <alignment horizontal="left" vertical="center" textRotation="0" wrapText="false" indent="0" shrinkToFit="false"/>
      <protection locked="true" hidden="false"/>
    </xf>
    <xf numFmtId="164" fontId="0" fillId="8" borderId="0" xfId="0" applyFont="false" applyBorder="false" applyAlignment="true" applyProtection="false">
      <alignment horizontal="general" vertical="center" textRotation="0" wrapText="false" indent="0" shrinkToFit="false"/>
      <protection locked="true" hidden="false"/>
    </xf>
    <xf numFmtId="165" fontId="5" fillId="8" borderId="33" xfId="0" applyFont="true" applyBorder="true" applyAlignment="true" applyProtection="false">
      <alignment horizontal="center" vertical="center" textRotation="0" wrapText="false" indent="0" shrinkToFit="false"/>
      <protection locked="true" hidden="false"/>
    </xf>
    <xf numFmtId="164" fontId="5" fillId="8" borderId="0" xfId="0" applyFont="true" applyBorder="false" applyAlignment="true" applyProtection="false">
      <alignment horizontal="center" vertical="center" textRotation="0" wrapText="false" indent="0" shrinkToFit="false"/>
      <protection locked="true" hidden="false"/>
    </xf>
    <xf numFmtId="164" fontId="10" fillId="4" borderId="0" xfId="0" applyFont="true" applyBorder="false" applyAlignment="true" applyProtection="false">
      <alignment horizontal="general" vertical="center" textRotation="0" wrapText="false" indent="0" shrinkToFit="false"/>
      <protection locked="true" hidden="false"/>
    </xf>
    <xf numFmtId="164" fontId="10" fillId="0" borderId="0" xfId="0" applyFont="true" applyBorder="false" applyAlignment="true" applyProtection="false">
      <alignment horizontal="general" vertical="center" textRotation="0" wrapText="false" indent="0" shrinkToFit="false"/>
      <protection locked="true" hidden="false"/>
    </xf>
    <xf numFmtId="164" fontId="0" fillId="8" borderId="0" xfId="0" applyFont="false" applyBorder="false" applyAlignment="true" applyProtection="false">
      <alignment horizontal="center" vertical="center" textRotation="0" wrapText="false" indent="0" shrinkToFit="false"/>
      <protection locked="true" hidden="false"/>
    </xf>
    <xf numFmtId="164" fontId="6" fillId="8" borderId="0" xfId="0" applyFont="true" applyBorder="false" applyAlignment="true" applyProtection="false">
      <alignment horizontal="general" vertical="center" textRotation="0" wrapText="false" indent="0" shrinkToFit="false"/>
      <protection locked="true" hidden="false"/>
    </xf>
    <xf numFmtId="164" fontId="0" fillId="4" borderId="0" xfId="0" applyFont="false" applyBorder="false" applyAlignment="true" applyProtection="false">
      <alignment horizontal="left" vertical="center" textRotation="0" wrapText="false" indent="0" shrinkToFit="false"/>
      <protection locked="true" hidden="false"/>
    </xf>
    <xf numFmtId="164" fontId="0" fillId="8" borderId="0" xfId="0" applyFont="false" applyBorder="true" applyAlignment="true" applyProtection="false">
      <alignment horizontal="center" vertical="center" textRotation="0" wrapText="false" indent="0" shrinkToFit="false"/>
      <protection locked="true" hidden="false"/>
    </xf>
    <xf numFmtId="164" fontId="5" fillId="0" borderId="18" xfId="0" applyFont="true" applyBorder="true" applyAlignment="true" applyProtection="false">
      <alignment horizontal="general" vertical="center" textRotation="0" wrapText="false" indent="0" shrinkToFit="false"/>
      <protection locked="true" hidden="false"/>
    </xf>
    <xf numFmtId="167" fontId="0" fillId="8" borderId="0" xfId="0" applyFont="false" applyBorder="false" applyAlignment="true" applyProtection="false">
      <alignment horizontal="center" vertical="center" textRotation="0" wrapText="false" indent="0" shrinkToFit="false"/>
      <protection locked="true" hidden="false"/>
    </xf>
    <xf numFmtId="164" fontId="6" fillId="8" borderId="0" xfId="0" applyFont="true" applyBorder="false" applyAlignment="true" applyProtection="false">
      <alignment horizontal="center" vertical="center" textRotation="0" wrapText="false" indent="0" shrinkToFit="false"/>
      <protection locked="true" hidden="false"/>
    </xf>
    <xf numFmtId="164" fontId="0" fillId="6" borderId="0" xfId="0" applyFont="false" applyBorder="false" applyAlignment="true" applyProtection="false">
      <alignment horizontal="general" vertical="center" textRotation="0" wrapText="false" indent="0" shrinkToFit="false"/>
      <protection locked="true" hidden="false"/>
    </xf>
    <xf numFmtId="165" fontId="5" fillId="6" borderId="33" xfId="0" applyFont="true" applyBorder="true" applyAlignment="true" applyProtection="false">
      <alignment horizontal="center" vertical="center" textRotation="0" wrapText="false" indent="0" shrinkToFit="false"/>
      <protection locked="true" hidden="false"/>
    </xf>
    <xf numFmtId="164" fontId="5" fillId="6" borderId="0" xfId="0" applyFont="true" applyBorder="false" applyAlignment="true" applyProtection="false">
      <alignment horizontal="center" vertical="center" textRotation="0" wrapText="false" indent="0" shrinkToFit="false"/>
      <protection locked="true" hidden="false"/>
    </xf>
    <xf numFmtId="164" fontId="0" fillId="6" borderId="0" xfId="0" applyFont="false" applyBorder="false" applyAlignment="true" applyProtection="false">
      <alignment horizontal="center" vertical="center" textRotation="0" wrapText="false" indent="0" shrinkToFit="false"/>
      <protection locked="true" hidden="false"/>
    </xf>
    <xf numFmtId="164" fontId="6" fillId="6" borderId="0" xfId="0" applyFont="true" applyBorder="false" applyAlignment="true" applyProtection="false">
      <alignment horizontal="general" vertical="center" textRotation="0" wrapText="false" indent="0" shrinkToFit="false"/>
      <protection locked="true" hidden="false"/>
    </xf>
    <xf numFmtId="164" fontId="0" fillId="6" borderId="0" xfId="0" applyFont="false" applyBorder="true" applyAlignment="true" applyProtection="false">
      <alignment horizontal="center" vertical="center" textRotation="0" wrapText="false" indent="0" shrinkToFit="false"/>
      <protection locked="true" hidden="false"/>
    </xf>
    <xf numFmtId="167" fontId="0" fillId="6" borderId="0" xfId="0" applyFont="false" applyBorder="false" applyAlignment="true" applyProtection="false">
      <alignment horizontal="center" vertical="center" textRotation="0" wrapText="false" indent="0" shrinkToFit="false"/>
      <protection locked="true" hidden="false"/>
    </xf>
    <xf numFmtId="164" fontId="6" fillId="6" borderId="0" xfId="0" applyFont="true" applyBorder="false" applyAlignment="true" applyProtection="false">
      <alignment horizontal="center" vertical="center" textRotation="0" wrapText="false" indent="0" shrinkToFit="false"/>
      <protection locked="true" hidden="false"/>
    </xf>
    <xf numFmtId="164" fontId="0" fillId="2" borderId="0" xfId="0" applyFont="false" applyBorder="false" applyAlignment="true" applyProtection="false">
      <alignment horizontal="general" vertical="center" textRotation="0" wrapText="false" indent="0" shrinkToFit="false"/>
      <protection locked="true" hidden="false"/>
    </xf>
    <xf numFmtId="164" fontId="10" fillId="2" borderId="33" xfId="0" applyFont="true" applyBorder="true" applyAlignment="true" applyProtection="false">
      <alignment horizontal="center" vertical="center" textRotation="0" wrapText="false" indent="0" shrinkToFit="false"/>
      <protection locked="true" hidden="false"/>
    </xf>
    <xf numFmtId="166" fontId="5" fillId="2" borderId="4" xfId="0" applyFont="true" applyBorder="true" applyAlignment="true" applyProtection="false">
      <alignment horizontal="center" vertical="center" textRotation="0" wrapText="false" indent="0" shrinkToFit="false"/>
      <protection locked="true" hidden="false"/>
    </xf>
    <xf numFmtId="166" fontId="5" fillId="2" borderId="2" xfId="0" applyFont="true" applyBorder="true" applyAlignment="true" applyProtection="false">
      <alignment horizontal="center" vertical="center" textRotation="0" wrapText="true" indent="0" shrinkToFit="false"/>
      <protection locked="true" hidden="false"/>
    </xf>
    <xf numFmtId="166" fontId="5" fillId="2" borderId="34" xfId="0" applyFont="true" applyBorder="true" applyAlignment="true" applyProtection="false">
      <alignment horizontal="center" vertical="center" textRotation="0" wrapText="false" indent="0" shrinkToFit="false"/>
      <protection locked="true" hidden="false"/>
    </xf>
    <xf numFmtId="164" fontId="5" fillId="2" borderId="2" xfId="0" applyFont="true" applyBorder="true" applyAlignment="true" applyProtection="false">
      <alignment horizontal="center" vertical="center" textRotation="0" wrapText="true" indent="0" shrinkToFit="false"/>
      <protection locked="true" hidden="false"/>
    </xf>
    <xf numFmtId="164" fontId="5" fillId="2" borderId="2" xfId="0" applyFont="true" applyBorder="true" applyAlignment="true" applyProtection="false">
      <alignment horizontal="center" vertical="center" textRotation="0" wrapText="false" indent="0" shrinkToFit="false"/>
      <protection locked="true" hidden="false"/>
    </xf>
    <xf numFmtId="166" fontId="5" fillId="2" borderId="3" xfId="0" applyFont="true" applyBorder="true" applyAlignment="true" applyProtection="false">
      <alignment horizontal="center" vertical="center" textRotation="0" wrapText="true" indent="0" shrinkToFit="false"/>
      <protection locked="true" hidden="false"/>
    </xf>
    <xf numFmtId="166" fontId="5" fillId="2" borderId="2" xfId="0" applyFont="true" applyBorder="true" applyAlignment="true" applyProtection="false">
      <alignment horizontal="center" vertical="center" textRotation="0" wrapText="false" indent="0" shrinkToFit="false"/>
      <protection locked="true" hidden="false"/>
    </xf>
    <xf numFmtId="166" fontId="5" fillId="4" borderId="2" xfId="0" applyFont="true" applyBorder="true" applyAlignment="true" applyProtection="false">
      <alignment horizontal="center" vertical="center" textRotation="0" wrapText="true" indent="0" shrinkToFit="false"/>
      <protection locked="true" hidden="false"/>
    </xf>
    <xf numFmtId="164" fontId="5" fillId="4" borderId="34" xfId="0" applyFont="true" applyBorder="true" applyAlignment="true" applyProtection="false">
      <alignment horizontal="center" vertical="center" textRotation="0" wrapText="true" indent="0" shrinkToFit="false"/>
      <protection locked="true" hidden="false"/>
    </xf>
    <xf numFmtId="164" fontId="0" fillId="9" borderId="5" xfId="0" applyFont="true" applyBorder="true" applyAlignment="true" applyProtection="false">
      <alignment horizontal="left" vertical="center" textRotation="0" wrapText="false" indent="0" shrinkToFit="false"/>
      <protection locked="true" hidden="false"/>
    </xf>
    <xf numFmtId="164" fontId="0" fillId="9" borderId="6" xfId="0" applyFont="true" applyBorder="true" applyAlignment="true" applyProtection="false">
      <alignment horizontal="left" vertical="center" textRotation="0" wrapText="false" indent="0" shrinkToFit="false"/>
      <protection locked="true" hidden="false"/>
    </xf>
    <xf numFmtId="165" fontId="0" fillId="9" borderId="6" xfId="0" applyFont="false" applyBorder="true" applyAlignment="true" applyProtection="false">
      <alignment horizontal="center" vertical="center" textRotation="0" wrapText="false" indent="0" shrinkToFit="false"/>
      <protection locked="true" hidden="false"/>
    </xf>
    <xf numFmtId="166" fontId="0" fillId="9" borderId="6" xfId="0" applyFont="true" applyBorder="true" applyAlignment="true" applyProtection="false">
      <alignment horizontal="center" vertical="center" textRotation="0" wrapText="false" indent="0" shrinkToFit="false"/>
      <protection locked="true" hidden="false"/>
    </xf>
    <xf numFmtId="167" fontId="0" fillId="9" borderId="7" xfId="0" applyFont="false" applyBorder="true" applyAlignment="true" applyProtection="false">
      <alignment horizontal="center" vertical="center" textRotation="0" wrapText="false" indent="0" shrinkToFit="false"/>
      <protection locked="true" hidden="false"/>
    </xf>
    <xf numFmtId="166" fontId="5" fillId="0" borderId="0" xfId="0" applyFont="true" applyBorder="false" applyAlignment="true" applyProtection="false">
      <alignment horizontal="center" vertical="center" textRotation="0" wrapText="false" indent="0" shrinkToFit="false"/>
      <protection locked="true" hidden="false"/>
    </xf>
    <xf numFmtId="164" fontId="0" fillId="2" borderId="9" xfId="0" applyFont="true" applyBorder="true" applyAlignment="true" applyProtection="false">
      <alignment horizontal="left" vertical="center" textRotation="0" wrapText="false" indent="0" shrinkToFit="false"/>
      <protection locked="true" hidden="false"/>
    </xf>
    <xf numFmtId="164" fontId="0" fillId="2" borderId="10" xfId="0" applyFont="true" applyBorder="true" applyAlignment="true" applyProtection="false">
      <alignment horizontal="left" vertical="center" textRotation="0" wrapText="false" indent="0" shrinkToFit="false"/>
      <protection locked="true" hidden="false"/>
    </xf>
    <xf numFmtId="165" fontId="0" fillId="2" borderId="10" xfId="0" applyFont="false" applyBorder="true" applyAlignment="true" applyProtection="false">
      <alignment horizontal="center" vertical="center" textRotation="0" wrapText="false" indent="0" shrinkToFit="false"/>
      <protection locked="true" hidden="false"/>
    </xf>
    <xf numFmtId="166" fontId="0" fillId="2" borderId="10" xfId="0" applyFont="true" applyBorder="true" applyAlignment="true" applyProtection="false">
      <alignment horizontal="center" vertical="center" textRotation="0" wrapText="false" indent="0" shrinkToFit="false"/>
      <protection locked="true" hidden="false"/>
    </xf>
    <xf numFmtId="167" fontId="0" fillId="2" borderId="11" xfId="0" applyFont="false" applyBorder="true" applyAlignment="true" applyProtection="false">
      <alignment horizontal="center" vertical="center" textRotation="0" wrapText="false" indent="0" shrinkToFit="false"/>
      <protection locked="true" hidden="false"/>
    </xf>
    <xf numFmtId="164" fontId="6" fillId="0" borderId="0" xfId="0" applyFont="true" applyBorder="false" applyAlignment="true" applyProtection="false">
      <alignment horizontal="center" vertical="center" textRotation="0" wrapText="false" indent="0" shrinkToFit="false"/>
      <protection locked="true" hidden="false"/>
    </xf>
    <xf numFmtId="164" fontId="0" fillId="8" borderId="15" xfId="0" applyFont="true" applyBorder="true" applyAlignment="true" applyProtection="false">
      <alignment horizontal="left" vertical="center" textRotation="0" wrapText="false" indent="0" shrinkToFit="false"/>
      <protection locked="true" hidden="false"/>
    </xf>
    <xf numFmtId="164" fontId="0" fillId="8" borderId="16" xfId="0" applyFont="true" applyBorder="true" applyAlignment="true" applyProtection="false">
      <alignment horizontal="left" vertical="center" textRotation="0" wrapText="false" indent="0" shrinkToFit="false"/>
      <protection locked="true" hidden="false"/>
    </xf>
    <xf numFmtId="165" fontId="0" fillId="8" borderId="16" xfId="0" applyFont="false" applyBorder="true" applyAlignment="true" applyProtection="false">
      <alignment horizontal="center" vertical="center" textRotation="0" wrapText="false" indent="0" shrinkToFit="false"/>
      <protection locked="true" hidden="false"/>
    </xf>
    <xf numFmtId="166" fontId="0" fillId="8" borderId="16" xfId="0" applyFont="true" applyBorder="true" applyAlignment="true" applyProtection="false">
      <alignment horizontal="center" vertical="center" textRotation="0" wrapText="false" indent="0" shrinkToFit="false"/>
      <protection locked="true" hidden="false"/>
    </xf>
    <xf numFmtId="167" fontId="0" fillId="8" borderId="17" xfId="0" applyFont="false" applyBorder="true" applyAlignment="true" applyProtection="false">
      <alignment horizontal="center" vertical="center" textRotation="0" wrapText="false" indent="0" shrinkToFit="false"/>
      <protection locked="true" hidden="false"/>
    </xf>
    <xf numFmtId="164" fontId="0" fillId="2" borderId="0" xfId="0" applyFont="false" applyBorder="false" applyAlignment="true" applyProtection="false">
      <alignment horizontal="left" vertical="center" textRotation="0" wrapText="false" indent="0" shrinkToFit="false"/>
      <protection locked="true" hidden="false"/>
    </xf>
    <xf numFmtId="164" fontId="0" fillId="2" borderId="0" xfId="0" applyFont="false" applyBorder="false" applyAlignment="true" applyProtection="false">
      <alignment horizontal="center" vertical="center" textRotation="0" wrapText="false" indent="0" shrinkToFit="false"/>
      <protection locked="true" hidden="false"/>
    </xf>
    <xf numFmtId="166" fontId="0" fillId="2" borderId="0" xfId="0" applyFont="false" applyBorder="true" applyAlignment="true" applyProtection="false">
      <alignment horizontal="center" vertical="center" textRotation="0" wrapText="false" indent="0" shrinkToFit="false"/>
      <protection locked="true" hidden="false"/>
    </xf>
    <xf numFmtId="167" fontId="0" fillId="2" borderId="0" xfId="0" applyFont="false" applyBorder="false" applyAlignment="true" applyProtection="false">
      <alignment horizontal="center" vertical="center" textRotation="0" wrapText="false" indent="0" shrinkToFit="false"/>
      <protection locked="true" hidden="false"/>
    </xf>
    <xf numFmtId="164" fontId="10" fillId="4" borderId="0" xfId="0" applyFont="true" applyBorder="false" applyAlignment="true" applyProtection="false">
      <alignment horizontal="center" vertical="center" textRotation="0" wrapText="false" indent="0" shrinkToFit="false"/>
      <protection locked="true" hidden="false"/>
    </xf>
    <xf numFmtId="164" fontId="10" fillId="0" borderId="0" xfId="0" applyFont="true" applyBorder="false" applyAlignment="true" applyProtection="false">
      <alignment horizontal="center" vertical="center" textRotation="0" wrapText="false" indent="0" shrinkToFit="false"/>
      <protection locked="true" hidden="false"/>
    </xf>
    <xf numFmtId="164" fontId="5" fillId="0" borderId="0" xfId="0" applyFont="true" applyBorder="false" applyAlignment="true" applyProtection="false">
      <alignment horizontal="left" vertical="center" textRotation="0" wrapText="false" indent="0" shrinkToFit="false"/>
      <protection locked="true" hidden="false"/>
    </xf>
    <xf numFmtId="166" fontId="5" fillId="0" borderId="40" xfId="0" applyFont="true" applyBorder="true" applyAlignment="true" applyProtection="false">
      <alignment horizontal="center" vertical="center" textRotation="0" wrapText="true" indent="0" shrinkToFit="false"/>
      <protection locked="true" hidden="false"/>
    </xf>
    <xf numFmtId="166" fontId="5" fillId="0" borderId="41" xfId="0" applyFont="true" applyBorder="true" applyAlignment="true" applyProtection="false">
      <alignment horizontal="general" vertical="center" textRotation="0" wrapText="false" indent="0" shrinkToFit="false"/>
      <protection locked="true" hidden="false"/>
    </xf>
    <xf numFmtId="166" fontId="5" fillId="0" borderId="42" xfId="0" applyFont="true" applyBorder="true" applyAlignment="true" applyProtection="false">
      <alignment horizontal="general" vertical="center" textRotation="0" wrapText="false" indent="0" shrinkToFit="false"/>
      <protection locked="true" hidden="false"/>
    </xf>
    <xf numFmtId="166" fontId="0" fillId="0" borderId="43" xfId="0" applyFont="true" applyBorder="true" applyAlignment="true" applyProtection="false">
      <alignment horizontal="left" vertical="center" textRotation="0" wrapText="true" indent="0" shrinkToFit="false"/>
      <protection locked="true" hidden="false"/>
    </xf>
    <xf numFmtId="166" fontId="0" fillId="0" borderId="19" xfId="0" applyFont="true" applyBorder="true" applyAlignment="true" applyProtection="false">
      <alignment horizontal="left" vertical="center" textRotation="0" wrapText="false" indent="0" shrinkToFit="false"/>
      <protection locked="true" hidden="false"/>
    </xf>
    <xf numFmtId="166" fontId="0" fillId="7" borderId="12" xfId="0" applyFont="true" applyBorder="true" applyAlignment="true" applyProtection="false">
      <alignment horizontal="left" vertical="center" textRotation="0" wrapText="false" indent="0" shrinkToFit="false"/>
      <protection locked="true" hidden="false"/>
    </xf>
    <xf numFmtId="166" fontId="0" fillId="7" borderId="27" xfId="0" applyFont="true" applyBorder="true" applyAlignment="true" applyProtection="false">
      <alignment horizontal="left" vertical="center" textRotation="0" wrapText="true" indent="0" shrinkToFit="false"/>
      <protection locked="true" hidden="false"/>
    </xf>
    <xf numFmtId="166" fontId="0" fillId="7" borderId="11" xfId="0" applyFont="true" applyBorder="true" applyAlignment="true" applyProtection="false">
      <alignment horizontal="left" vertical="center" textRotation="0" wrapText="true" indent="0" shrinkToFit="false"/>
      <protection locked="true" hidden="false"/>
    </xf>
    <xf numFmtId="166" fontId="0" fillId="0" borderId="28" xfId="0" applyFont="true" applyBorder="true" applyAlignment="true" applyProtection="false">
      <alignment horizontal="left" vertical="center" textRotation="0" wrapText="false" indent="0" shrinkToFit="false"/>
      <protection locked="true" hidden="false"/>
    </xf>
    <xf numFmtId="166" fontId="0" fillId="0" borderId="12" xfId="0" applyFont="true" applyBorder="true" applyAlignment="true" applyProtection="false">
      <alignment horizontal="left" vertical="center" textRotation="0" wrapText="false" indent="0" shrinkToFit="false"/>
      <protection locked="true" hidden="false"/>
    </xf>
    <xf numFmtId="166" fontId="0" fillId="0" borderId="27" xfId="0" applyFont="true" applyBorder="true" applyAlignment="true" applyProtection="false">
      <alignment horizontal="left" vertical="center" textRotation="0" wrapText="true" indent="0" shrinkToFit="false"/>
      <protection locked="true" hidden="false"/>
    </xf>
    <xf numFmtId="166" fontId="0" fillId="0" borderId="13" xfId="0" applyFont="true" applyBorder="true" applyAlignment="true" applyProtection="false">
      <alignment horizontal="left" vertical="center" textRotation="0" wrapText="true" indent="0" shrinkToFit="false"/>
      <protection locked="true" hidden="false"/>
    </xf>
    <xf numFmtId="164" fontId="6" fillId="0" borderId="12" xfId="0" applyFont="true" applyBorder="true" applyAlignment="true" applyProtection="false">
      <alignment horizontal="left" vertical="center" textRotation="0" wrapText="false" indent="0" shrinkToFit="false"/>
      <protection locked="true" hidden="false"/>
    </xf>
    <xf numFmtId="164" fontId="0" fillId="0" borderId="26" xfId="0" applyFont="true" applyBorder="true" applyAlignment="true" applyProtection="false">
      <alignment horizontal="left" vertical="center" textRotation="0" wrapText="false" indent="0" shrinkToFit="false"/>
      <protection locked="true" hidden="false"/>
    </xf>
    <xf numFmtId="166" fontId="0" fillId="8" borderId="9" xfId="0" applyFont="true" applyBorder="true" applyAlignment="true" applyProtection="false">
      <alignment horizontal="left" vertical="center" textRotation="0" wrapText="false" indent="0" shrinkToFit="false"/>
      <protection locked="true" hidden="false"/>
    </xf>
    <xf numFmtId="166" fontId="0" fillId="8" borderId="23" xfId="0" applyFont="true" applyBorder="true" applyAlignment="true" applyProtection="false">
      <alignment horizontal="left" vertical="center" textRotation="0" wrapText="false" indent="0" shrinkToFit="false"/>
      <protection locked="true" hidden="false"/>
    </xf>
    <xf numFmtId="166" fontId="0" fillId="0" borderId="28" xfId="0" applyFont="true" applyBorder="true" applyAlignment="true" applyProtection="false">
      <alignment horizontal="left" vertical="center" textRotation="0" wrapText="true" indent="0" shrinkToFit="false"/>
      <protection locked="true" hidden="false"/>
    </xf>
    <xf numFmtId="166" fontId="0" fillId="0" borderId="29" xfId="0" applyFont="true" applyBorder="true" applyAlignment="true" applyProtection="false">
      <alignment horizontal="left" vertical="center" textRotation="0" wrapText="false" indent="0" shrinkToFit="false"/>
      <protection locked="true" hidden="false"/>
    </xf>
    <xf numFmtId="166" fontId="0" fillId="0" borderId="26" xfId="0" applyFont="true" applyBorder="true" applyAlignment="true" applyProtection="false">
      <alignment horizontal="left" vertical="center" textRotation="0" wrapText="false" indent="0" shrinkToFit="false"/>
      <protection locked="true" hidden="false"/>
    </xf>
    <xf numFmtId="166" fontId="0" fillId="0" borderId="13" xfId="0" applyFont="true" applyBorder="true" applyAlignment="true" applyProtection="false">
      <alignment horizontal="left" vertical="center" textRotation="0" wrapText="false" indent="0" shrinkToFit="false"/>
      <protection locked="true" hidden="false"/>
    </xf>
    <xf numFmtId="164" fontId="6" fillId="0" borderId="15" xfId="0" applyFont="true" applyBorder="true" applyAlignment="true" applyProtection="false">
      <alignment horizontal="left" vertical="center" textRotation="0" wrapText="false" indent="0" shrinkToFit="false"/>
      <protection locked="true" hidden="false"/>
    </xf>
    <xf numFmtId="166" fontId="0" fillId="6" borderId="15" xfId="0" applyFont="true" applyBorder="true" applyAlignment="true" applyProtection="false">
      <alignment horizontal="left" vertical="center" textRotation="0" wrapText="false" indent="0" shrinkToFit="false"/>
      <protection locked="true" hidden="false"/>
    </xf>
    <xf numFmtId="166" fontId="0" fillId="6" borderId="44" xfId="0" applyFont="true" applyBorder="true" applyAlignment="true" applyProtection="false">
      <alignment horizontal="left" vertical="center" textRotation="0" wrapText="true" indent="0" shrinkToFit="false"/>
      <protection locked="true" hidden="false"/>
    </xf>
    <xf numFmtId="166" fontId="0" fillId="0" borderId="30" xfId="0" applyFont="true" applyBorder="true" applyAlignment="true" applyProtection="false">
      <alignment horizontal="left" vertical="center" textRotation="0" wrapText="false" indent="0" shrinkToFit="false"/>
      <protection locked="true" hidden="false"/>
    </xf>
    <xf numFmtId="166" fontId="0" fillId="0" borderId="31" xfId="0" applyFont="true" applyBorder="true" applyAlignment="true" applyProtection="false">
      <alignment horizontal="left" vertical="center" textRotation="0" wrapText="false" indent="0" shrinkToFit="false"/>
      <protection locked="true" hidden="false"/>
    </xf>
    <xf numFmtId="166" fontId="0" fillId="0" borderId="16" xfId="0" applyFont="true" applyBorder="true" applyAlignment="true" applyProtection="false">
      <alignment horizontal="left" vertical="center" textRotation="0" wrapText="false" indent="0" shrinkToFit="false"/>
      <protection locked="true" hidden="false"/>
    </xf>
    <xf numFmtId="166" fontId="0" fillId="0" borderId="17" xfId="0" applyFont="true" applyBorder="true" applyAlignment="true" applyProtection="false">
      <alignment horizontal="left" vertical="center" textRotation="0" wrapText="false" indent="0" shrinkToFit="false"/>
      <protection locked="true" hidden="false"/>
    </xf>
    <xf numFmtId="164" fontId="8" fillId="0" borderId="5" xfId="0" applyFont="true" applyBorder="true" applyAlignment="true" applyProtection="false">
      <alignment horizontal="left" vertical="center" textRotation="0" wrapText="false" indent="0" shrinkToFit="false"/>
      <protection locked="true" hidden="false"/>
    </xf>
    <xf numFmtId="164" fontId="8" fillId="0" borderId="6" xfId="0" applyFont="true" applyBorder="true" applyAlignment="true" applyProtection="false">
      <alignment horizontal="left" vertical="center" textRotation="0" wrapText="false" indent="0" shrinkToFit="false"/>
      <protection locked="true" hidden="false"/>
    </xf>
    <xf numFmtId="164" fontId="8" fillId="0" borderId="6" xfId="0" applyFont="true" applyBorder="true" applyAlignment="true" applyProtection="false">
      <alignment horizontal="center" vertical="center" textRotation="0" wrapText="false" indent="0" shrinkToFit="false"/>
      <protection locked="true" hidden="false"/>
    </xf>
    <xf numFmtId="167" fontId="8" fillId="0" borderId="6" xfId="0" applyFont="true" applyBorder="true" applyAlignment="true" applyProtection="false">
      <alignment horizontal="center" vertical="center" textRotation="0" wrapText="false" indent="0" shrinkToFit="false"/>
      <protection locked="true" hidden="false"/>
    </xf>
    <xf numFmtId="164" fontId="8" fillId="0" borderId="7" xfId="0" applyFont="true" applyBorder="true" applyAlignment="true" applyProtection="false">
      <alignment horizontal="center" vertical="center" textRotation="0" wrapText="false" indent="0" shrinkToFit="false"/>
      <protection locked="true" hidden="false"/>
    </xf>
    <xf numFmtId="164" fontId="6" fillId="0" borderId="10" xfId="0" applyFont="true" applyBorder="true" applyAlignment="true" applyProtection="false">
      <alignment horizontal="center" vertical="center" textRotation="0" wrapText="false" indent="0" shrinkToFit="false"/>
      <protection locked="true" hidden="false"/>
    </xf>
    <xf numFmtId="164" fontId="6" fillId="0" borderId="10" xfId="0" applyFont="true" applyBorder="true" applyAlignment="true" applyProtection="false">
      <alignment horizontal="center" vertical="center" textRotation="0" wrapText="true" indent="0" shrinkToFit="false"/>
      <protection locked="true" hidden="false"/>
    </xf>
    <xf numFmtId="167" fontId="6" fillId="0" borderId="10" xfId="0" applyFont="true" applyBorder="true" applyAlignment="true" applyProtection="false">
      <alignment horizontal="center" vertical="center" textRotation="0" wrapText="false" indent="0" shrinkToFit="false"/>
      <protection locked="true" hidden="false"/>
    </xf>
    <xf numFmtId="164" fontId="6" fillId="0" borderId="11" xfId="0" applyFont="true" applyBorder="true" applyAlignment="true" applyProtection="false">
      <alignment horizontal="center" vertical="center" textRotation="0" wrapText="false" indent="0" shrinkToFit="false"/>
      <protection locked="true" hidden="false"/>
    </xf>
    <xf numFmtId="164" fontId="6" fillId="0" borderId="15" xfId="0" applyFont="true" applyBorder="true" applyAlignment="true" applyProtection="false">
      <alignment horizontal="general" vertical="center" textRotation="0" wrapText="false" indent="0" shrinkToFit="false"/>
      <protection locked="true" hidden="false"/>
    </xf>
    <xf numFmtId="164" fontId="6" fillId="0" borderId="16" xfId="0" applyFont="true" applyBorder="true" applyAlignment="true" applyProtection="false">
      <alignment horizontal="center" vertical="center" textRotation="0" wrapText="false" indent="0" shrinkToFit="false"/>
      <protection locked="true" hidden="false"/>
    </xf>
    <xf numFmtId="164" fontId="6" fillId="0" borderId="16" xfId="0" applyFont="true" applyBorder="true" applyAlignment="true" applyProtection="false">
      <alignment horizontal="center" vertical="center" textRotation="0" wrapText="true" indent="0" shrinkToFit="false"/>
      <protection locked="true" hidden="false"/>
    </xf>
    <xf numFmtId="167" fontId="6" fillId="0" borderId="16" xfId="0" applyFont="true" applyBorder="true" applyAlignment="true" applyProtection="false">
      <alignment horizontal="center" vertical="center" textRotation="0" wrapText="false" indent="0" shrinkToFit="false"/>
      <protection locked="true" hidden="false"/>
    </xf>
    <xf numFmtId="164" fontId="6" fillId="0" borderId="17" xfId="0" applyFont="true" applyBorder="true" applyAlignment="true" applyProtection="false">
      <alignment horizontal="center" vertical="center" textRotation="0" wrapText="false" indent="0" shrinkToFit="false"/>
      <protection locked="true" hidden="false"/>
    </xf>
    <xf numFmtId="167" fontId="6" fillId="5" borderId="0" xfId="0" applyFont="true" applyBorder="false" applyAlignment="true" applyProtection="false">
      <alignment horizontal="center" vertical="center" textRotation="0" wrapText="false" indent="0" shrinkToFit="false"/>
      <protection locked="true" hidden="false"/>
    </xf>
    <xf numFmtId="164" fontId="6" fillId="0" borderId="6" xfId="0" applyFont="true" applyBorder="true" applyAlignment="true" applyProtection="false">
      <alignment horizontal="center" vertical="center" textRotation="0" wrapText="false" indent="0" shrinkToFit="false"/>
      <protection locked="true" hidden="false"/>
    </xf>
    <xf numFmtId="167" fontId="6" fillId="0" borderId="6" xfId="0" applyFont="true" applyBorder="true" applyAlignment="true" applyProtection="false">
      <alignment horizontal="center" vertical="center" textRotation="0" wrapText="false" indent="0" shrinkToFit="false"/>
      <protection locked="true" hidden="false"/>
    </xf>
    <xf numFmtId="164" fontId="6" fillId="0" borderId="7" xfId="0" applyFont="true" applyBorder="true" applyAlignment="true" applyProtection="false">
      <alignment horizontal="center" vertical="center" textRotation="0" wrapText="false" indent="0" shrinkToFit="false"/>
      <protection locked="true" hidden="false"/>
    </xf>
    <xf numFmtId="164" fontId="8" fillId="0" borderId="15" xfId="0" applyFont="true" applyBorder="true" applyAlignment="true" applyProtection="false">
      <alignment horizontal="general" vertical="center" textRotation="0" wrapText="false" indent="0" shrinkToFit="false"/>
      <protection locked="true" hidden="false"/>
    </xf>
    <xf numFmtId="164" fontId="8" fillId="0" borderId="16" xfId="0" applyFont="true" applyBorder="true" applyAlignment="true" applyProtection="false">
      <alignment horizontal="left" vertical="center" textRotation="0" wrapText="false" indent="0" shrinkToFit="false"/>
      <protection locked="true" hidden="false"/>
    </xf>
    <xf numFmtId="164" fontId="8" fillId="0" borderId="16" xfId="0" applyFont="true" applyBorder="true" applyAlignment="true" applyProtection="false">
      <alignment horizontal="center" vertical="center" textRotation="0" wrapText="false" indent="0" shrinkToFit="false"/>
      <protection locked="true" hidden="false"/>
    </xf>
    <xf numFmtId="164" fontId="8" fillId="0" borderId="16" xfId="0" applyFont="true" applyBorder="true" applyAlignment="true" applyProtection="false">
      <alignment horizontal="center" vertical="center" textRotation="0" wrapText="true" indent="0" shrinkToFit="false"/>
      <protection locked="true" hidden="false"/>
    </xf>
    <xf numFmtId="167" fontId="8" fillId="0" borderId="16" xfId="0" applyFont="true" applyBorder="true" applyAlignment="true" applyProtection="false">
      <alignment horizontal="center" vertical="center" textRotation="0" wrapText="false" indent="0" shrinkToFit="false"/>
      <protection locked="true" hidden="false"/>
    </xf>
    <xf numFmtId="164" fontId="8" fillId="0" borderId="17" xfId="0" applyFont="true" applyBorder="true" applyAlignment="true" applyProtection="false">
      <alignment horizontal="center" vertical="center" textRotation="0" wrapText="false" indent="0" shrinkToFit="false"/>
      <protection locked="true" hidden="false"/>
    </xf>
    <xf numFmtId="164" fontId="6" fillId="9" borderId="5" xfId="0" applyFont="true" applyBorder="true" applyAlignment="true" applyProtection="false">
      <alignment horizontal="left" vertical="center" textRotation="0" wrapText="false" indent="0" shrinkToFit="false"/>
      <protection locked="true" hidden="false"/>
    </xf>
    <xf numFmtId="164" fontId="6" fillId="9" borderId="6" xfId="0" applyFont="true" applyBorder="true" applyAlignment="true" applyProtection="false">
      <alignment horizontal="left" vertical="center" textRotation="0" wrapText="false" indent="0" shrinkToFit="false"/>
      <protection locked="true" hidden="false"/>
    </xf>
    <xf numFmtId="169" fontId="6" fillId="9" borderId="6" xfId="0" applyFont="true" applyBorder="true" applyAlignment="true" applyProtection="false">
      <alignment horizontal="center" vertical="center" textRotation="0" wrapText="false" indent="0" shrinkToFit="false"/>
      <protection locked="true" hidden="false"/>
    </xf>
    <xf numFmtId="164" fontId="6" fillId="9" borderId="6" xfId="0" applyFont="true" applyBorder="true" applyAlignment="true" applyProtection="false">
      <alignment horizontal="center" vertical="center" textRotation="0" wrapText="false" indent="0" shrinkToFit="false"/>
      <protection locked="true" hidden="false"/>
    </xf>
    <xf numFmtId="164" fontId="6" fillId="9" borderId="6" xfId="0" applyFont="true" applyBorder="true" applyAlignment="true" applyProtection="false">
      <alignment horizontal="general" vertical="center" textRotation="0" wrapText="false" indent="0" shrinkToFit="false"/>
      <protection locked="true" hidden="false"/>
    </xf>
    <xf numFmtId="167" fontId="6" fillId="9" borderId="7" xfId="0" applyFont="true" applyBorder="true" applyAlignment="true" applyProtection="false">
      <alignment horizontal="center" vertical="center" textRotation="0" wrapText="true" indent="0" shrinkToFit="false"/>
      <protection locked="true" hidden="false"/>
    </xf>
    <xf numFmtId="164" fontId="6" fillId="2" borderId="9" xfId="0" applyFont="true" applyBorder="true" applyAlignment="true" applyProtection="false">
      <alignment horizontal="left" vertical="center" textRotation="0" wrapText="false" indent="0" shrinkToFit="false"/>
      <protection locked="true" hidden="false"/>
    </xf>
    <xf numFmtId="164" fontId="6" fillId="2" borderId="10" xfId="0" applyFont="true" applyBorder="true" applyAlignment="true" applyProtection="false">
      <alignment horizontal="left" vertical="center" textRotation="0" wrapText="false" indent="0" shrinkToFit="false"/>
      <protection locked="true" hidden="false"/>
    </xf>
    <xf numFmtId="169" fontId="6" fillId="2" borderId="10" xfId="0" applyFont="true" applyBorder="true" applyAlignment="true" applyProtection="false">
      <alignment horizontal="center" vertical="center" textRotation="0" wrapText="false" indent="0" shrinkToFit="false"/>
      <protection locked="true" hidden="false"/>
    </xf>
    <xf numFmtId="164" fontId="6" fillId="2" borderId="10" xfId="0" applyFont="true" applyBorder="true" applyAlignment="true" applyProtection="false">
      <alignment horizontal="center" vertical="center" textRotation="0" wrapText="false" indent="0" shrinkToFit="false"/>
      <protection locked="true" hidden="false"/>
    </xf>
    <xf numFmtId="164" fontId="6" fillId="2" borderId="10" xfId="0" applyFont="true" applyBorder="true" applyAlignment="true" applyProtection="false">
      <alignment horizontal="general" vertical="center" textRotation="0" wrapText="false" indent="0" shrinkToFit="false"/>
      <protection locked="true" hidden="false"/>
    </xf>
    <xf numFmtId="167" fontId="6" fillId="2" borderId="11" xfId="0" applyFont="true" applyBorder="true" applyAlignment="true" applyProtection="false">
      <alignment horizontal="center" vertical="center" textRotation="0" wrapText="true" indent="0" shrinkToFit="false"/>
      <protection locked="true" hidden="false"/>
    </xf>
    <xf numFmtId="164" fontId="0" fillId="0" borderId="0" xfId="0" applyFont="false" applyBorder="true" applyAlignment="true" applyProtection="false">
      <alignment horizontal="center" vertical="center" textRotation="0" wrapText="false" indent="0" shrinkToFit="false"/>
      <protection locked="true" hidden="false"/>
    </xf>
    <xf numFmtId="170" fontId="0" fillId="0" borderId="0" xfId="0" applyFont="false" applyBorder="false" applyAlignment="true" applyProtection="false">
      <alignment horizontal="center" vertical="center" textRotation="0" wrapText="false" indent="0" shrinkToFit="false"/>
      <protection locked="true" hidden="false"/>
    </xf>
    <xf numFmtId="169" fontId="0" fillId="0" borderId="0" xfId="0" applyFont="false" applyBorder="false" applyAlignment="true" applyProtection="false">
      <alignment horizontal="center" vertical="center" textRotation="0" wrapText="false" indent="0" shrinkToFit="false"/>
      <protection locked="true" hidden="false"/>
    </xf>
    <xf numFmtId="164" fontId="6" fillId="8" borderId="15" xfId="0" applyFont="true" applyBorder="true" applyAlignment="true" applyProtection="false">
      <alignment horizontal="general" vertical="center" textRotation="0" wrapText="false" indent="0" shrinkToFit="false"/>
      <protection locked="true" hidden="false"/>
    </xf>
    <xf numFmtId="164" fontId="6" fillId="8" borderId="16" xfId="0" applyFont="true" applyBorder="true" applyAlignment="true" applyProtection="false">
      <alignment horizontal="left" vertical="center" textRotation="0" wrapText="false" indent="0" shrinkToFit="false"/>
      <protection locked="true" hidden="false"/>
    </xf>
    <xf numFmtId="169" fontId="6" fillId="8" borderId="16" xfId="0" applyFont="true" applyBorder="true" applyAlignment="true" applyProtection="false">
      <alignment horizontal="center" vertical="center" textRotation="0" wrapText="false" indent="0" shrinkToFit="false"/>
      <protection locked="true" hidden="false"/>
    </xf>
    <xf numFmtId="164" fontId="6" fillId="8" borderId="16" xfId="0" applyFont="true" applyBorder="true" applyAlignment="true" applyProtection="false">
      <alignment horizontal="center" vertical="center" textRotation="0" wrapText="false" indent="0" shrinkToFit="false"/>
      <protection locked="true" hidden="false"/>
    </xf>
    <xf numFmtId="164" fontId="6" fillId="8" borderId="16" xfId="0" applyFont="true" applyBorder="true" applyAlignment="true" applyProtection="false">
      <alignment horizontal="general" vertical="center" textRotation="0" wrapText="false" indent="0" shrinkToFit="false"/>
      <protection locked="true" hidden="false"/>
    </xf>
    <xf numFmtId="167" fontId="6" fillId="8" borderId="17" xfId="0" applyFont="true" applyBorder="true" applyAlignment="true" applyProtection="false">
      <alignment horizontal="center" vertical="center" textRotation="0" wrapText="true" indent="0" shrinkToFit="false"/>
      <protection locked="true" hidden="false"/>
    </xf>
    <xf numFmtId="169" fontId="6" fillId="2" borderId="0" xfId="0" applyFont="true" applyBorder="false" applyAlignment="true" applyProtection="false">
      <alignment horizontal="center" vertical="center" textRotation="0" wrapText="false" indent="0" shrinkToFit="false"/>
      <protection locked="true" hidden="false"/>
    </xf>
    <xf numFmtId="164" fontId="6" fillId="2" borderId="0" xfId="0" applyFont="true" applyBorder="false" applyAlignment="true" applyProtection="false">
      <alignment horizontal="center" vertical="center" textRotation="0" wrapText="false" indent="0" shrinkToFit="false"/>
      <protection locked="true" hidden="false"/>
    </xf>
    <xf numFmtId="164" fontId="6" fillId="2" borderId="0" xfId="0" applyFont="true" applyBorder="true" applyAlignment="true" applyProtection="false">
      <alignment horizontal="center" vertical="center" textRotation="0" wrapText="false" indent="0" shrinkToFit="false"/>
      <protection locked="true" hidden="false"/>
    </xf>
    <xf numFmtId="164" fontId="6" fillId="2" borderId="0" xfId="0" applyFont="true" applyBorder="false" applyAlignment="true" applyProtection="false">
      <alignment horizontal="general" vertical="center" textRotation="0" wrapText="false" indent="0" shrinkToFit="false"/>
      <protection locked="true" hidden="false"/>
    </xf>
    <xf numFmtId="167" fontId="6" fillId="2" borderId="0" xfId="0" applyFont="true" applyBorder="false" applyAlignment="true" applyProtection="false">
      <alignment horizontal="center" vertical="center" textRotation="0" wrapText="true" indent="0" shrinkToFit="false"/>
      <protection locked="true" hidden="false"/>
    </xf>
    <xf numFmtId="166" fontId="0" fillId="5" borderId="45" xfId="0" applyFont="true" applyBorder="true" applyAlignment="true" applyProtection="false">
      <alignment horizontal="left" vertical="center" textRotation="0" wrapText="true" indent="0" shrinkToFit="false"/>
      <protection locked="true" hidden="false"/>
    </xf>
    <xf numFmtId="166" fontId="0" fillId="6" borderId="20" xfId="0" applyFont="true" applyBorder="true" applyAlignment="true" applyProtection="false">
      <alignment horizontal="left" vertical="center" textRotation="0" wrapText="true" indent="0" shrinkToFit="false"/>
      <protection locked="true" hidden="false"/>
    </xf>
    <xf numFmtId="166" fontId="0" fillId="0" borderId="36" xfId="0" applyFont="true" applyBorder="true" applyAlignment="true" applyProtection="false">
      <alignment horizontal="left" vertical="center" textRotation="0" wrapText="false" indent="0" shrinkToFit="false"/>
      <protection locked="true" hidden="false"/>
    </xf>
    <xf numFmtId="166" fontId="0" fillId="0" borderId="9" xfId="0" applyFont="true" applyBorder="true" applyAlignment="true" applyProtection="false">
      <alignment horizontal="left" vertical="center" textRotation="0" wrapText="false" indent="0" shrinkToFit="false"/>
      <protection locked="true" hidden="false"/>
    </xf>
    <xf numFmtId="166" fontId="0" fillId="0" borderId="10" xfId="0" applyFont="true" applyBorder="true" applyAlignment="true" applyProtection="false">
      <alignment horizontal="left" vertical="center" textRotation="0" wrapText="false" indent="0" shrinkToFit="false"/>
      <protection locked="true" hidden="false"/>
    </xf>
    <xf numFmtId="166" fontId="0" fillId="0" borderId="11" xfId="0" applyFont="true" applyBorder="true" applyAlignment="true" applyProtection="false">
      <alignment horizontal="left" vertical="center" textRotation="0" wrapText="false" indent="0" shrinkToFit="false"/>
      <protection locked="true" hidden="false"/>
    </xf>
    <xf numFmtId="166" fontId="0" fillId="8" borderId="23" xfId="0" applyFont="true" applyBorder="true" applyAlignment="true" applyProtection="false">
      <alignment horizontal="left" vertical="center" textRotation="0" wrapText="true" indent="0" shrinkToFit="false"/>
      <protection locked="true" hidden="false"/>
    </xf>
    <xf numFmtId="166" fontId="0" fillId="0" borderId="36" xfId="0" applyFont="true" applyBorder="true" applyAlignment="true" applyProtection="false">
      <alignment horizontal="left" vertical="center" textRotation="0" wrapText="true" indent="0" shrinkToFit="false"/>
      <protection locked="true" hidden="false"/>
    </xf>
    <xf numFmtId="166" fontId="0" fillId="6" borderId="16" xfId="0" applyFont="true" applyBorder="true" applyAlignment="true" applyProtection="false">
      <alignment horizontal="left" vertical="center" textRotation="0" wrapText="true" indent="0" shrinkToFit="false"/>
      <protection locked="true" hidden="false"/>
    </xf>
    <xf numFmtId="166" fontId="0" fillId="5" borderId="15" xfId="0" applyFont="true" applyBorder="true" applyAlignment="true" applyProtection="false">
      <alignment horizontal="left" vertical="center" textRotation="0" wrapText="false" indent="0" shrinkToFit="false"/>
      <protection locked="true" hidden="false"/>
    </xf>
    <xf numFmtId="164" fontId="6" fillId="0" borderId="5" xfId="0" applyFont="true" applyBorder="true" applyAlignment="true" applyProtection="false">
      <alignment horizontal="general" vertical="center" textRotation="0" wrapText="false" indent="0" shrinkToFit="false"/>
      <protection locked="true" hidden="false"/>
    </xf>
    <xf numFmtId="164" fontId="6" fillId="0" borderId="6" xfId="0" applyFont="true" applyBorder="true" applyAlignment="true" applyProtection="false">
      <alignment horizontal="center" vertical="center" textRotation="0" wrapText="true" indent="0" shrinkToFit="false"/>
      <protection locked="true" hidden="false"/>
    </xf>
    <xf numFmtId="164" fontId="8" fillId="0" borderId="10" xfId="0" applyFont="true" applyBorder="true" applyAlignment="true" applyProtection="false">
      <alignment horizontal="center" vertical="center" textRotation="0" wrapText="true" indent="0" shrinkToFit="false"/>
      <protection locked="true" hidden="false"/>
    </xf>
    <xf numFmtId="164" fontId="6" fillId="9" borderId="5" xfId="0" applyFont="true" applyBorder="true" applyAlignment="true" applyProtection="false">
      <alignment horizontal="general" vertical="center" textRotation="0" wrapText="false" indent="0" shrinkToFit="false"/>
      <protection locked="true" hidden="false"/>
    </xf>
    <xf numFmtId="164" fontId="6" fillId="2" borderId="0" xfId="0" applyFont="true" applyBorder="false" applyAlignment="true" applyProtection="false">
      <alignment horizontal="left" vertical="center" textRotation="0" wrapText="false" indent="0" shrinkToFit="false"/>
      <protection locked="true" hidden="false"/>
    </xf>
    <xf numFmtId="165" fontId="0" fillId="0" borderId="46" xfId="0" applyFont="false" applyBorder="true" applyAlignment="true" applyProtection="false">
      <alignment horizontal="left" vertical="center" textRotation="0" wrapText="false" indent="0" shrinkToFit="false"/>
      <protection locked="true" hidden="false"/>
    </xf>
    <xf numFmtId="164" fontId="0" fillId="0" borderId="47" xfId="0" applyFont="false" applyBorder="true" applyAlignment="true" applyProtection="false">
      <alignment horizontal="center" vertical="center" textRotation="0" wrapText="false" indent="0" shrinkToFit="false"/>
      <protection locked="true" hidden="false"/>
    </xf>
    <xf numFmtId="164" fontId="0" fillId="0" borderId="21" xfId="0" applyFont="false" applyBorder="true" applyAlignment="true" applyProtection="false">
      <alignment horizontal="center" vertical="center" textRotation="0" wrapText="false" indent="0" shrinkToFit="false"/>
      <protection locked="true" hidden="false"/>
    </xf>
    <xf numFmtId="164" fontId="6" fillId="0" borderId="0" xfId="0" applyFont="true" applyBorder="false" applyAlignment="true" applyProtection="false">
      <alignment horizontal="left"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true" indent="0" shrinkToFit="false"/>
      <protection locked="true" hidden="false"/>
    </xf>
    <xf numFmtId="164" fontId="5" fillId="2" borderId="48" xfId="0" applyFont="true" applyBorder="true" applyAlignment="true" applyProtection="false">
      <alignment horizontal="right" vertical="center" textRotation="0" wrapText="false" indent="0" shrinkToFit="false"/>
      <protection locked="true" hidden="false"/>
    </xf>
    <xf numFmtId="164" fontId="5" fillId="2" borderId="8" xfId="0" applyFont="true" applyBorder="true" applyAlignment="true" applyProtection="false">
      <alignment horizontal="right" vertical="center" textRotation="0" wrapText="false" indent="0" shrinkToFit="false"/>
      <protection locked="true" hidden="false"/>
    </xf>
    <xf numFmtId="165" fontId="5" fillId="2" borderId="49" xfId="0" applyFont="true" applyBorder="true" applyAlignment="true" applyProtection="false">
      <alignment horizontal="center" vertical="center" textRotation="0" wrapText="false" indent="0" shrinkToFit="false"/>
      <protection locked="true" hidden="false"/>
    </xf>
    <xf numFmtId="164" fontId="0" fillId="0" borderId="48" xfId="0" applyFont="false" applyBorder="true" applyAlignment="true" applyProtection="false">
      <alignment horizontal="center" vertical="center" textRotation="0" wrapText="true" indent="0" shrinkToFit="false"/>
      <protection locked="true" hidden="false"/>
    </xf>
    <xf numFmtId="164" fontId="6" fillId="0" borderId="8" xfId="0" applyFont="true" applyBorder="true" applyAlignment="true" applyProtection="false">
      <alignment horizontal="general" vertical="center" textRotation="0" wrapText="false" indent="0" shrinkToFit="false"/>
      <protection locked="true" hidden="false"/>
    </xf>
    <xf numFmtId="164" fontId="6" fillId="0" borderId="8" xfId="0" applyFont="true" applyBorder="true" applyAlignment="true" applyProtection="false">
      <alignment horizontal="left" vertical="center" textRotation="0" wrapText="false" indent="0" shrinkToFit="false"/>
      <protection locked="true" hidden="false"/>
    </xf>
    <xf numFmtId="164" fontId="0" fillId="0" borderId="8" xfId="0" applyFont="true" applyBorder="true" applyAlignment="true" applyProtection="false">
      <alignment horizontal="left" vertical="center" textRotation="0" wrapText="true" indent="0" shrinkToFit="false"/>
      <protection locked="true" hidden="false"/>
    </xf>
    <xf numFmtId="164" fontId="0" fillId="0" borderId="49" xfId="0" applyFont="true" applyBorder="true" applyAlignment="true" applyProtection="false">
      <alignment horizontal="general" vertical="center" textRotation="0" wrapText="false" indent="0" shrinkToFit="false"/>
      <protection locked="true" hidden="false"/>
    </xf>
    <xf numFmtId="166" fontId="0" fillId="6" borderId="43" xfId="0" applyFont="true" applyBorder="true" applyAlignment="true" applyProtection="false">
      <alignment horizontal="left" vertical="center" textRotation="0" wrapText="false" indent="0" shrinkToFit="false"/>
      <protection locked="true" hidden="false"/>
    </xf>
    <xf numFmtId="166" fontId="0" fillId="5" borderId="24" xfId="0" applyFont="true" applyBorder="true" applyAlignment="true" applyProtection="false">
      <alignment horizontal="left" vertical="center" textRotation="0" wrapText="true" indent="0" shrinkToFit="false"/>
      <protection locked="true" hidden="false"/>
    </xf>
    <xf numFmtId="166" fontId="0" fillId="0" borderId="26" xfId="0" applyFont="true" applyBorder="true" applyAlignment="true" applyProtection="false">
      <alignment horizontal="left" vertical="center" textRotation="0" wrapText="true" indent="0" shrinkToFit="false"/>
      <protection locked="true" hidden="false"/>
    </xf>
    <xf numFmtId="166" fontId="0" fillId="8" borderId="22" xfId="0" applyFont="true" applyBorder="true" applyAlignment="true" applyProtection="false">
      <alignment horizontal="left" vertical="center" textRotation="0" wrapText="true" indent="0" shrinkToFit="false"/>
      <protection locked="true" hidden="false"/>
    </xf>
    <xf numFmtId="166" fontId="0" fillId="0" borderId="15" xfId="0" applyFont="true" applyBorder="true" applyAlignment="true" applyProtection="false">
      <alignment horizontal="left" vertical="center" textRotation="0" wrapText="true" indent="0" shrinkToFit="false"/>
      <protection locked="true" hidden="false"/>
    </xf>
    <xf numFmtId="166" fontId="0" fillId="0" borderId="31" xfId="0" applyFont="true" applyBorder="true" applyAlignment="true" applyProtection="false">
      <alignment horizontal="left" vertical="center" textRotation="0" wrapText="true" indent="0" shrinkToFit="false"/>
      <protection locked="true" hidden="false"/>
    </xf>
    <xf numFmtId="166" fontId="0" fillId="0" borderId="17" xfId="0" applyFont="true" applyBorder="true" applyAlignment="true" applyProtection="false">
      <alignment horizontal="left" vertical="center" textRotation="0" wrapText="true" indent="0" shrinkToFit="false"/>
      <protection locked="true" hidden="false"/>
    </xf>
    <xf numFmtId="164" fontId="8" fillId="0" borderId="6" xfId="0" applyFont="true" applyBorder="true" applyAlignment="true" applyProtection="false">
      <alignment horizontal="center" vertical="center" textRotation="0" wrapText="true" indent="0" shrinkToFit="false"/>
      <protection locked="true" hidden="false"/>
    </xf>
    <xf numFmtId="166" fontId="0" fillId="0" borderId="24" xfId="0" applyFont="true" applyBorder="true" applyAlignment="true" applyProtection="false">
      <alignment horizontal="left" vertical="center" textRotation="0" wrapText="false" indent="0" shrinkToFit="false"/>
      <protection locked="true" hidden="false"/>
    </xf>
    <xf numFmtId="166" fontId="0" fillId="8" borderId="10" xfId="0" applyFont="true" applyBorder="true" applyAlignment="true" applyProtection="false">
      <alignment horizontal="left" vertical="center" textRotation="0" wrapText="false" indent="0" shrinkToFit="false"/>
      <protection locked="true" hidden="false"/>
    </xf>
    <xf numFmtId="164" fontId="6" fillId="0" borderId="9" xfId="0" applyFont="true" applyBorder="true" applyAlignment="true" applyProtection="false">
      <alignment horizontal="general" vertical="center" textRotation="0" wrapText="false" indent="0" shrinkToFit="false"/>
      <protection locked="true" hidden="false"/>
    </xf>
    <xf numFmtId="164" fontId="6" fillId="0" borderId="6" xfId="0" applyFont="true" applyBorder="true" applyAlignment="true" applyProtection="false">
      <alignment horizontal="left" vertical="center" textRotation="0" wrapText="true" indent="0" shrinkToFit="false"/>
      <protection locked="true" hidden="false"/>
    </xf>
    <xf numFmtId="164" fontId="0" fillId="0" borderId="16" xfId="0" applyFont="true" applyBorder="true" applyAlignment="true" applyProtection="false">
      <alignment horizontal="general" vertical="center" textRotation="0" wrapText="true" indent="0" shrinkToFit="false"/>
      <protection locked="true" hidden="false"/>
    </xf>
    <xf numFmtId="166" fontId="0" fillId="8" borderId="15" xfId="0" applyFont="true" applyBorder="true" applyAlignment="true" applyProtection="false">
      <alignment horizontal="left" vertical="center" textRotation="0" wrapText="true" indent="0" shrinkToFit="false"/>
      <protection locked="true" hidden="false"/>
    </xf>
    <xf numFmtId="166" fontId="0" fillId="8" borderId="16" xfId="0" applyFont="true" applyBorder="true" applyAlignment="true" applyProtection="false">
      <alignment horizontal="general" vertical="center" textRotation="0" wrapText="true" indent="0" shrinkToFit="false"/>
      <protection locked="true" hidden="false"/>
    </xf>
    <xf numFmtId="166" fontId="0" fillId="8" borderId="32" xfId="0" applyFont="true" applyBorder="true" applyAlignment="true" applyProtection="false">
      <alignment horizontal="left" vertical="center" textRotation="0" wrapText="true" indent="0" shrinkToFit="false"/>
      <protection locked="true" hidden="false"/>
    </xf>
    <xf numFmtId="166" fontId="0" fillId="5" borderId="30" xfId="0" applyFont="true" applyBorder="true" applyAlignment="true" applyProtection="false">
      <alignment horizontal="general" vertical="center" textRotation="0" wrapText="true" indent="0" shrinkToFit="false"/>
      <protection locked="true" hidden="false"/>
    </xf>
    <xf numFmtId="166" fontId="0" fillId="0" borderId="15" xfId="0" applyFont="true" applyBorder="true" applyAlignment="true" applyProtection="false">
      <alignment horizontal="general" vertical="center" textRotation="0" wrapText="false" indent="0" shrinkToFit="false"/>
      <protection locked="true" hidden="false"/>
    </xf>
    <xf numFmtId="166" fontId="0" fillId="0" borderId="16" xfId="0" applyFont="true" applyBorder="true" applyAlignment="true" applyProtection="false">
      <alignment horizontal="general" vertical="center" textRotation="0" wrapText="false" indent="0" shrinkToFit="false"/>
      <protection locked="true" hidden="false"/>
    </xf>
    <xf numFmtId="164" fontId="8" fillId="0" borderId="15" xfId="0" applyFont="true" applyBorder="true" applyAlignment="true" applyProtection="false">
      <alignment horizontal="left" vertical="center" textRotation="0" wrapText="false" indent="0" shrinkToFit="false"/>
      <protection locked="true" hidden="false"/>
    </xf>
    <xf numFmtId="164" fontId="10" fillId="2" borderId="0" xfId="0" applyFont="true" applyBorder="false" applyAlignment="true" applyProtection="false">
      <alignment horizontal="general" vertical="center" textRotation="0" wrapText="false" indent="0" shrinkToFit="false"/>
      <protection locked="true" hidden="false"/>
    </xf>
    <xf numFmtId="166" fontId="5" fillId="2" borderId="0" xfId="0" applyFont="true" applyBorder="false" applyAlignment="true" applyProtection="false">
      <alignment horizontal="center" vertical="center" textRotation="0" wrapText="true" indent="0" shrinkToFit="false"/>
      <protection locked="true" hidden="false"/>
    </xf>
    <xf numFmtId="164" fontId="5" fillId="2" borderId="0" xfId="0" applyFont="true" applyBorder="false" applyAlignment="true" applyProtection="false">
      <alignment horizontal="center" vertical="center" textRotation="0" wrapText="true" indent="0" shrinkToFit="false"/>
      <protection locked="true" hidden="false"/>
    </xf>
    <xf numFmtId="164" fontId="0" fillId="9" borderId="6" xfId="0" applyFont="true" applyBorder="true" applyAlignment="true" applyProtection="false">
      <alignment horizontal="general" vertical="center" textRotation="0" wrapText="true" indent="0" shrinkToFit="false"/>
      <protection locked="true" hidden="false"/>
    </xf>
    <xf numFmtId="164" fontId="6" fillId="9" borderId="6" xfId="0" applyFont="true" applyBorder="true" applyAlignment="true" applyProtection="false">
      <alignment horizontal="left" vertical="center" textRotation="0" wrapText="true" indent="0" shrinkToFit="false"/>
      <protection locked="true" hidden="false"/>
    </xf>
    <xf numFmtId="164" fontId="0" fillId="2" borderId="10" xfId="0" applyFont="true" applyBorder="true" applyAlignment="true" applyProtection="false">
      <alignment horizontal="general" vertical="center" textRotation="0" wrapText="true" indent="0" shrinkToFit="false"/>
      <protection locked="true" hidden="false"/>
    </xf>
    <xf numFmtId="164" fontId="6" fillId="8" borderId="16" xfId="0" applyFont="true" applyBorder="true" applyAlignment="true" applyProtection="false">
      <alignment horizontal="general" vertical="center" textRotation="0" wrapText="true" indent="0" shrinkToFit="false"/>
      <protection locked="true" hidden="false"/>
    </xf>
    <xf numFmtId="164" fontId="0" fillId="0" borderId="5" xfId="0" applyFont="true" applyBorder="true" applyAlignment="true" applyProtection="false">
      <alignment horizontal="left" vertical="center" textRotation="0" wrapText="false" indent="0" shrinkToFit="false"/>
      <protection locked="true" hidden="false"/>
    </xf>
    <xf numFmtId="164" fontId="0" fillId="0" borderId="6" xfId="0" applyFont="true" applyBorder="true" applyAlignment="true" applyProtection="false">
      <alignment horizontal="general" vertical="center" textRotation="0" wrapText="true" indent="0" shrinkToFit="false"/>
      <protection locked="true" hidden="false"/>
    </xf>
    <xf numFmtId="164" fontId="0" fillId="0" borderId="45" xfId="0" applyFont="false" applyBorder="true" applyAlignment="true" applyProtection="false">
      <alignment horizontal="center" vertical="center" textRotation="0" wrapText="false" indent="0" shrinkToFit="false"/>
      <protection locked="true" hidden="false"/>
    </xf>
    <xf numFmtId="166" fontId="0" fillId="5" borderId="5" xfId="0" applyFont="true" applyBorder="true" applyAlignment="true" applyProtection="false">
      <alignment horizontal="general" vertical="center" textRotation="0" wrapText="false" indent="0" shrinkToFit="false"/>
      <protection locked="true" hidden="false"/>
    </xf>
    <xf numFmtId="166" fontId="0" fillId="5" borderId="6" xfId="0" applyFont="true" applyBorder="true" applyAlignment="true" applyProtection="false">
      <alignment horizontal="general" vertical="center" textRotation="0" wrapText="true" indent="0" shrinkToFit="false"/>
      <protection locked="true" hidden="false"/>
    </xf>
    <xf numFmtId="166" fontId="0" fillId="5" borderId="7" xfId="0" applyFont="true" applyBorder="true" applyAlignment="true" applyProtection="false">
      <alignment horizontal="left" vertical="center" textRotation="0" wrapText="true" indent="0" shrinkToFit="false"/>
      <protection locked="true" hidden="false"/>
    </xf>
    <xf numFmtId="166" fontId="0" fillId="0" borderId="20" xfId="0" applyFont="true" applyBorder="true" applyAlignment="true" applyProtection="false">
      <alignment horizontal="general" vertical="center" textRotation="0" wrapText="false" indent="0" shrinkToFit="false"/>
      <protection locked="true" hidden="false"/>
    </xf>
    <xf numFmtId="166" fontId="0" fillId="0" borderId="35" xfId="0" applyFont="true" applyBorder="true" applyAlignment="true" applyProtection="false">
      <alignment horizontal="general" vertical="center" textRotation="0" wrapText="false" indent="0" shrinkToFit="false"/>
      <protection locked="true" hidden="false"/>
    </xf>
    <xf numFmtId="166" fontId="0" fillId="0" borderId="6" xfId="0" applyFont="true" applyBorder="true" applyAlignment="true" applyProtection="false">
      <alignment horizontal="general" vertical="center" textRotation="0" wrapText="false" indent="0" shrinkToFit="false"/>
      <protection locked="true" hidden="false"/>
    </xf>
    <xf numFmtId="164" fontId="6" fillId="0" borderId="50" xfId="0" applyFont="true" applyBorder="true" applyAlignment="true" applyProtection="false">
      <alignment horizontal="left" vertical="center" textRotation="0" wrapText="false" indent="0" shrinkToFit="false"/>
      <protection locked="true" hidden="false"/>
    </xf>
    <xf numFmtId="164" fontId="0" fillId="0" borderId="47" xfId="0" applyFont="true" applyBorder="true" applyAlignment="true" applyProtection="false">
      <alignment horizontal="left" vertical="center" textRotation="0" wrapText="true" indent="0" shrinkToFit="false"/>
      <protection locked="true" hidden="false"/>
    </xf>
    <xf numFmtId="164" fontId="0" fillId="0" borderId="51" xfId="0" applyFont="false" applyBorder="true" applyAlignment="true" applyProtection="false">
      <alignment horizontal="center" vertical="center" textRotation="0" wrapText="false" indent="0" shrinkToFit="false"/>
      <protection locked="true" hidden="false"/>
    </xf>
    <xf numFmtId="166" fontId="0" fillId="7" borderId="50" xfId="0" applyFont="true" applyBorder="true" applyAlignment="true" applyProtection="false">
      <alignment horizontal="left" vertical="center" textRotation="0" wrapText="false" indent="0" shrinkToFit="false"/>
      <protection locked="true" hidden="false"/>
    </xf>
    <xf numFmtId="166" fontId="0" fillId="7" borderId="47" xfId="0" applyFont="true" applyBorder="true" applyAlignment="true" applyProtection="false">
      <alignment horizontal="left" vertical="center" textRotation="0" wrapText="true" indent="0" shrinkToFit="false"/>
      <protection locked="true" hidden="false"/>
    </xf>
    <xf numFmtId="166" fontId="0" fillId="0" borderId="41" xfId="0" applyFont="true" applyBorder="true" applyAlignment="true" applyProtection="false">
      <alignment horizontal="left" vertical="center" textRotation="0" wrapText="false" indent="0" shrinkToFit="false"/>
      <protection locked="true" hidden="false"/>
    </xf>
    <xf numFmtId="166" fontId="0" fillId="0" borderId="52" xfId="0" applyFont="false" applyBorder="true" applyAlignment="true" applyProtection="false">
      <alignment horizontal="left" vertical="center" textRotation="0" wrapText="false" indent="0" shrinkToFit="false"/>
      <protection locked="true" hidden="false"/>
    </xf>
    <xf numFmtId="166" fontId="0" fillId="0" borderId="47" xfId="0" applyFont="false" applyBorder="true" applyAlignment="true" applyProtection="false">
      <alignment horizontal="left" vertical="center" textRotation="0" wrapText="false" indent="0" shrinkToFit="false"/>
      <protection locked="true" hidden="false"/>
    </xf>
    <xf numFmtId="166" fontId="0" fillId="0" borderId="21" xfId="0" applyFont="false" applyBorder="true" applyAlignment="true" applyProtection="false">
      <alignment horizontal="left" vertical="center" textRotation="0" wrapText="false" indent="0" shrinkToFit="false"/>
      <protection locked="true" hidden="false"/>
    </xf>
    <xf numFmtId="164" fontId="0" fillId="0" borderId="23" xfId="0" applyFont="false" applyBorder="true" applyAlignment="true" applyProtection="false">
      <alignment horizontal="center" vertical="center" textRotation="0" wrapText="false" indent="0" shrinkToFit="false"/>
      <protection locked="true" hidden="false"/>
    </xf>
    <xf numFmtId="166" fontId="0" fillId="4" borderId="36" xfId="0" applyFont="false" applyBorder="true" applyAlignment="true" applyProtection="false">
      <alignment horizontal="general" vertical="center" textRotation="0" wrapText="true" indent="0" shrinkToFit="false"/>
      <protection locked="true" hidden="false"/>
    </xf>
    <xf numFmtId="166" fontId="0" fillId="4" borderId="25" xfId="0" applyFont="false" applyBorder="true" applyAlignment="true" applyProtection="false">
      <alignment horizontal="general" vertical="center" textRotation="0" wrapText="false" indent="0" shrinkToFit="false"/>
      <protection locked="true" hidden="false"/>
    </xf>
    <xf numFmtId="166" fontId="0" fillId="4" borderId="10" xfId="0" applyFont="false" applyBorder="true" applyAlignment="true" applyProtection="false">
      <alignment horizontal="general" vertical="center" textRotation="0" wrapText="false" indent="0" shrinkToFit="false"/>
      <protection locked="true" hidden="false"/>
    </xf>
    <xf numFmtId="166" fontId="0" fillId="4" borderId="11" xfId="0" applyFont="false" applyBorder="true" applyAlignment="true" applyProtection="false">
      <alignment horizontal="left" vertical="center" textRotation="0" wrapText="false" indent="0" shrinkToFit="false"/>
      <protection locked="true" hidden="false"/>
    </xf>
    <xf numFmtId="166" fontId="0" fillId="4" borderId="53" xfId="0" applyFont="false" applyBorder="true" applyAlignment="true" applyProtection="false">
      <alignment horizontal="general" vertical="center" textRotation="0" wrapText="true" indent="0" shrinkToFit="false"/>
      <protection locked="true" hidden="false"/>
    </xf>
    <xf numFmtId="166" fontId="0" fillId="4" borderId="29" xfId="0" applyFont="false" applyBorder="true" applyAlignment="true" applyProtection="false">
      <alignment horizontal="general" vertical="center" textRotation="0" wrapText="false" indent="0" shrinkToFit="false"/>
      <protection locked="true" hidden="false"/>
    </xf>
    <xf numFmtId="166" fontId="0" fillId="4" borderId="26" xfId="0" applyFont="false" applyBorder="true" applyAlignment="true" applyProtection="false">
      <alignment horizontal="general" vertical="center" textRotation="0" wrapText="false" indent="0" shrinkToFit="false"/>
      <protection locked="true" hidden="false"/>
    </xf>
    <xf numFmtId="166" fontId="0" fillId="4" borderId="27" xfId="0" applyFont="false" applyBorder="true" applyAlignment="true" applyProtection="false">
      <alignment horizontal="left" vertical="center" textRotation="0" wrapText="false" indent="0" shrinkToFit="false"/>
      <protection locked="true" hidden="false"/>
    </xf>
    <xf numFmtId="166" fontId="0" fillId="4" borderId="54" xfId="0" applyFont="false" applyBorder="true" applyAlignment="true" applyProtection="false">
      <alignment horizontal="left" vertical="center" textRotation="0" wrapText="false" indent="0" shrinkToFit="false"/>
      <protection locked="true" hidden="false"/>
    </xf>
    <xf numFmtId="166" fontId="0" fillId="4" borderId="28" xfId="0" applyFont="false" applyBorder="true" applyAlignment="true" applyProtection="false">
      <alignment horizontal="left" vertical="center" textRotation="0" wrapText="false" indent="0" shrinkToFit="false"/>
      <protection locked="true" hidden="false"/>
    </xf>
    <xf numFmtId="164" fontId="0" fillId="0" borderId="44" xfId="0" applyFont="false" applyBorder="true" applyAlignment="true" applyProtection="false">
      <alignment horizontal="center" vertical="center" textRotation="0" wrapText="false" indent="0" shrinkToFit="false"/>
      <protection locked="true" hidden="false"/>
    </xf>
    <xf numFmtId="166" fontId="0" fillId="4" borderId="36" xfId="0" applyFont="false" applyBorder="true" applyAlignment="true" applyProtection="false">
      <alignment horizontal="general" vertical="center" textRotation="0" wrapText="false" indent="0" shrinkToFit="false"/>
      <protection locked="true" hidden="false"/>
    </xf>
    <xf numFmtId="166" fontId="0" fillId="4" borderId="53" xfId="0" applyFont="false" applyBorder="true" applyAlignment="true" applyProtection="false">
      <alignment horizontal="general" vertical="center" textRotation="0" wrapText="false" indent="0" shrinkToFit="false"/>
      <protection locked="true" hidden="false"/>
    </xf>
    <xf numFmtId="166" fontId="0" fillId="4" borderId="26" xfId="0" applyFont="false" applyBorder="true" applyAlignment="true" applyProtection="false">
      <alignment horizontal="left" vertical="center" textRotation="0" wrapText="false" indent="0" shrinkToFit="false"/>
      <protection locked="true" hidden="false"/>
    </xf>
    <xf numFmtId="166" fontId="0" fillId="4" borderId="13" xfId="0" applyFont="false" applyBorder="true" applyAlignment="true" applyProtection="false">
      <alignment horizontal="left" vertical="center" textRotation="0" wrapText="false" indent="0" shrinkToFit="false"/>
      <protection locked="true" hidden="false"/>
    </xf>
    <xf numFmtId="166" fontId="0" fillId="4" borderId="37" xfId="0" applyFont="false" applyBorder="true" applyAlignment="true" applyProtection="false">
      <alignment horizontal="general" vertical="center" textRotation="0" wrapText="false" indent="0" shrinkToFit="false"/>
      <protection locked="true" hidden="false"/>
    </xf>
    <xf numFmtId="166" fontId="0" fillId="4" borderId="31" xfId="0" applyFont="false" applyBorder="true" applyAlignment="true" applyProtection="false">
      <alignment horizontal="general" vertical="center" textRotation="0" wrapText="false" indent="0" shrinkToFit="false"/>
      <protection locked="true" hidden="false"/>
    </xf>
    <xf numFmtId="166" fontId="0" fillId="4" borderId="16" xfId="0" applyFont="false" applyBorder="true" applyAlignment="true" applyProtection="false">
      <alignment horizontal="general" vertical="center" textRotation="0" wrapText="false" indent="0" shrinkToFit="false"/>
      <protection locked="true" hidden="false"/>
    </xf>
    <xf numFmtId="166" fontId="0" fillId="4" borderId="16" xfId="0" applyFont="false" applyBorder="true" applyAlignment="true" applyProtection="false">
      <alignment horizontal="left" vertical="center" textRotation="0" wrapText="false" indent="0" shrinkToFit="false"/>
      <protection locked="true" hidden="false"/>
    </xf>
    <xf numFmtId="166" fontId="0" fillId="4" borderId="17" xfId="0" applyFont="false" applyBorder="true" applyAlignment="true" applyProtection="false">
      <alignment horizontal="left" vertical="center" textRotation="0" wrapText="false" indent="0" shrinkToFit="false"/>
      <protection locked="true" hidden="false"/>
    </xf>
    <xf numFmtId="164" fontId="8" fillId="0" borderId="5" xfId="0" applyFont="true" applyBorder="true" applyAlignment="true" applyProtection="false">
      <alignment horizontal="general" vertical="center" textRotation="0" wrapText="false" indent="0" shrinkToFit="false"/>
      <protection locked="true" hidden="false"/>
    </xf>
    <xf numFmtId="164" fontId="0" fillId="8" borderId="16" xfId="0" applyFont="true" applyBorder="true" applyAlignment="true" applyProtection="false">
      <alignment horizontal="left" vertical="center" textRotation="0" wrapText="true" indent="0" shrinkToFit="false"/>
      <protection locked="true" hidden="false"/>
    </xf>
    <xf numFmtId="164" fontId="5" fillId="2" borderId="1" xfId="0" applyFont="true" applyBorder="true" applyAlignment="true" applyProtection="false">
      <alignment horizontal="right" vertical="center" textRotation="0" wrapText="false" indent="0" shrinkToFit="false"/>
      <protection locked="true" hidden="false"/>
    </xf>
    <xf numFmtId="164" fontId="6" fillId="0" borderId="55" xfId="0" applyFont="true" applyBorder="true" applyAlignment="true" applyProtection="false">
      <alignment horizontal="left" vertical="center" textRotation="0" wrapText="false" indent="0" shrinkToFit="false"/>
      <protection locked="true" hidden="false"/>
    </xf>
    <xf numFmtId="164" fontId="6" fillId="0" borderId="14" xfId="0" applyFont="true" applyBorder="true" applyAlignment="true" applyProtection="false">
      <alignment horizontal="left" vertical="center" textRotation="0" wrapText="false" indent="0" shrinkToFit="false"/>
      <protection locked="true" hidden="false"/>
    </xf>
    <xf numFmtId="164" fontId="0" fillId="0" borderId="56" xfId="0" applyFont="false" applyBorder="true" applyAlignment="true" applyProtection="false">
      <alignment horizontal="center" vertical="center" textRotation="0" wrapText="false" indent="0" shrinkToFit="false"/>
      <protection locked="true" hidden="false"/>
    </xf>
    <xf numFmtId="166" fontId="0" fillId="8" borderId="3" xfId="0" applyFont="true" applyBorder="true" applyAlignment="true" applyProtection="false">
      <alignment horizontal="left" vertical="center" textRotation="0" wrapText="false" indent="0" shrinkToFit="false"/>
      <protection locked="true" hidden="false"/>
    </xf>
    <xf numFmtId="166" fontId="0" fillId="0" borderId="55" xfId="0" applyFont="true" applyBorder="true" applyAlignment="true" applyProtection="false">
      <alignment horizontal="left" vertical="center" textRotation="0" wrapText="false" indent="0" shrinkToFit="false"/>
      <protection locked="true" hidden="false"/>
    </xf>
    <xf numFmtId="166" fontId="0" fillId="0" borderId="14" xfId="0" applyFont="true" applyBorder="true" applyAlignment="true" applyProtection="false">
      <alignment horizontal="left" vertical="center" textRotation="0" wrapText="false" indent="0" shrinkToFit="false"/>
      <protection locked="true" hidden="false"/>
    </xf>
    <xf numFmtId="166" fontId="0" fillId="0" borderId="24" xfId="0" applyFont="true" applyBorder="true" applyAlignment="true" applyProtection="false">
      <alignment horizontal="left" vertical="center" textRotation="0" wrapText="true" indent="0" shrinkToFit="false"/>
      <protection locked="true" hidden="false"/>
    </xf>
    <xf numFmtId="164" fontId="0" fillId="0" borderId="27" xfId="0" applyFont="false" applyBorder="true" applyAlignment="true" applyProtection="false">
      <alignment horizontal="center" vertical="center" textRotation="0" wrapText="false" indent="0" shrinkToFit="false"/>
      <protection locked="true" hidden="false"/>
    </xf>
    <xf numFmtId="164" fontId="0" fillId="8" borderId="50" xfId="0" applyFont="true" applyBorder="true" applyAlignment="true" applyProtection="false">
      <alignment horizontal="left" vertical="center" textRotation="0" wrapText="true" indent="0" shrinkToFit="false"/>
      <protection locked="true" hidden="false"/>
    </xf>
    <xf numFmtId="166" fontId="0" fillId="8" borderId="47" xfId="0" applyFont="true" applyBorder="true" applyAlignment="true" applyProtection="false">
      <alignment horizontal="left" vertical="center" textRotation="0" wrapText="true" indent="0" shrinkToFit="false"/>
      <protection locked="true" hidden="false"/>
    </xf>
    <xf numFmtId="166" fontId="0" fillId="8" borderId="42" xfId="0" applyFont="false" applyBorder="true" applyAlignment="true" applyProtection="false">
      <alignment horizontal="left" vertical="center" textRotation="0" wrapText="true" indent="0" shrinkToFit="false"/>
      <protection locked="true" hidden="false"/>
    </xf>
    <xf numFmtId="164" fontId="0" fillId="8" borderId="9" xfId="0" applyFont="true" applyBorder="true" applyAlignment="true" applyProtection="false">
      <alignment horizontal="left" vertical="center" textRotation="0" wrapText="true" indent="0" shrinkToFit="false"/>
      <protection locked="true" hidden="false"/>
    </xf>
    <xf numFmtId="166" fontId="0" fillId="8" borderId="21" xfId="0" applyFont="true" applyBorder="true" applyAlignment="true" applyProtection="false">
      <alignment horizontal="left" vertical="top" textRotation="0" wrapText="true" indent="0" shrinkToFit="false"/>
      <protection locked="true" hidden="false"/>
    </xf>
    <xf numFmtId="166" fontId="0" fillId="6" borderId="17" xfId="0" applyFont="true" applyBorder="true" applyAlignment="true" applyProtection="false">
      <alignment horizontal="left" vertical="center" textRotation="0" wrapText="true" indent="0" shrinkToFit="false"/>
      <protection locked="true" hidden="false"/>
    </xf>
    <xf numFmtId="166" fontId="0" fillId="0" borderId="16" xfId="0" applyFont="true" applyBorder="true" applyAlignment="true" applyProtection="false">
      <alignment horizontal="left" vertical="center" textRotation="0" wrapText="true" indent="0" shrinkToFit="false"/>
      <protection locked="true" hidden="false"/>
    </xf>
    <xf numFmtId="164" fontId="0" fillId="0" borderId="14" xfId="0" applyFont="true" applyBorder="true" applyAlignment="true" applyProtection="false">
      <alignment horizontal="left" vertical="center" textRotation="0" wrapText="false" indent="0" shrinkToFit="false"/>
      <protection locked="true" hidden="false"/>
    </xf>
    <xf numFmtId="164" fontId="0" fillId="0" borderId="19" xfId="0" applyFont="false" applyBorder="true" applyAlignment="true" applyProtection="false">
      <alignment horizontal="center" vertical="center" textRotation="0" wrapText="false" indent="0" shrinkToFit="false"/>
      <protection locked="true" hidden="false"/>
    </xf>
    <xf numFmtId="166" fontId="0" fillId="5" borderId="55" xfId="0" applyFont="true" applyBorder="true" applyAlignment="true" applyProtection="false">
      <alignment horizontal="left" vertical="center" textRotation="0" wrapText="false" indent="0" shrinkToFit="false"/>
      <protection locked="true" hidden="false"/>
    </xf>
    <xf numFmtId="166" fontId="0" fillId="5" borderId="14" xfId="0" applyFont="true" applyBorder="true" applyAlignment="true" applyProtection="false">
      <alignment horizontal="left" vertical="center" textRotation="0" wrapText="true" indent="0" shrinkToFit="false"/>
      <protection locked="true" hidden="false"/>
    </xf>
    <xf numFmtId="166" fontId="0" fillId="8" borderId="3" xfId="0" applyFont="true" applyBorder="true" applyAlignment="true" applyProtection="false">
      <alignment horizontal="left" vertical="center" textRotation="0" wrapText="true" indent="0" shrinkToFit="false"/>
      <protection locked="true" hidden="false"/>
    </xf>
    <xf numFmtId="166" fontId="0" fillId="8" borderId="24" xfId="0" applyFont="true" applyBorder="true" applyAlignment="true" applyProtection="false">
      <alignment horizontal="left" vertical="center" textRotation="0" wrapText="false" indent="0" shrinkToFit="false"/>
      <protection locked="true" hidden="false"/>
    </xf>
    <xf numFmtId="166" fontId="0" fillId="7" borderId="30" xfId="0" applyFont="true" applyBorder="true" applyAlignment="true" applyProtection="false">
      <alignment horizontal="left" vertical="center" textRotation="0" wrapText="false" indent="0" shrinkToFit="false"/>
      <protection locked="true" hidden="false"/>
    </xf>
    <xf numFmtId="166" fontId="0" fillId="8" borderId="20" xfId="0" applyFont="true" applyBorder="true" applyAlignment="true" applyProtection="false">
      <alignment horizontal="left" vertical="center" textRotation="0" wrapText="true" indent="0" shrinkToFit="false"/>
      <protection locked="true" hidden="false"/>
    </xf>
    <xf numFmtId="166" fontId="0" fillId="0" borderId="35" xfId="0" applyFont="true" applyBorder="true" applyAlignment="true" applyProtection="false">
      <alignment horizontal="left" vertical="center" textRotation="0" wrapText="false" indent="0" shrinkToFit="false"/>
      <protection locked="true" hidden="false"/>
    </xf>
    <xf numFmtId="166" fontId="0" fillId="7" borderId="36" xfId="0" applyFont="true" applyBorder="true" applyAlignment="true" applyProtection="false">
      <alignment horizontal="left" vertical="center" textRotation="0" wrapText="true" indent="0" shrinkToFit="false"/>
      <protection locked="true" hidden="false"/>
    </xf>
    <xf numFmtId="166" fontId="0" fillId="8" borderId="21" xfId="0" applyFont="true" applyBorder="true" applyAlignment="true" applyProtection="false">
      <alignment horizontal="general" vertical="center" textRotation="0" wrapText="true" indent="0" shrinkToFit="false"/>
      <protection locked="true" hidden="false"/>
    </xf>
    <xf numFmtId="166" fontId="0" fillId="0" borderId="37" xfId="0" applyFont="true" applyBorder="true" applyAlignment="true" applyProtection="false">
      <alignment horizontal="left" vertical="center" textRotation="0" wrapText="false" indent="0" shrinkToFit="false"/>
      <protection locked="true" hidden="false"/>
    </xf>
    <xf numFmtId="166" fontId="0" fillId="6" borderId="2" xfId="0" applyFont="true" applyBorder="true" applyAlignment="true" applyProtection="false">
      <alignment horizontal="left" vertical="center" textRotation="0" wrapText="false" indent="0" shrinkToFit="false"/>
      <protection locked="true" hidden="false"/>
    </xf>
    <xf numFmtId="166" fontId="0" fillId="0" borderId="57" xfId="0" applyFont="true" applyBorder="true" applyAlignment="true" applyProtection="false">
      <alignment horizontal="left" vertical="center" textRotation="0" wrapText="false" indent="0" shrinkToFit="false"/>
      <protection locked="true" hidden="false"/>
    </xf>
    <xf numFmtId="164" fontId="6" fillId="0" borderId="26" xfId="0" applyFont="true" applyBorder="true" applyAlignment="true" applyProtection="false">
      <alignment horizontal="left" vertical="center" textRotation="0" wrapText="true" indent="0" shrinkToFit="false"/>
      <protection locked="true" hidden="false"/>
    </xf>
    <xf numFmtId="166" fontId="0" fillId="6" borderId="53" xfId="0" applyFont="true" applyBorder="true" applyAlignment="true" applyProtection="false">
      <alignment horizontal="left" vertical="center" textRotation="0" wrapText="true" indent="0" shrinkToFit="false"/>
      <protection locked="true" hidden="false"/>
    </xf>
    <xf numFmtId="166" fontId="0" fillId="7" borderId="29" xfId="0" applyFont="true" applyBorder="true" applyAlignment="true" applyProtection="false">
      <alignment horizontal="left" vertical="center" textRotation="0" wrapText="false" indent="0" shrinkToFit="false"/>
      <protection locked="true" hidden="false"/>
    </xf>
    <xf numFmtId="166" fontId="0" fillId="7" borderId="26" xfId="0" applyFont="true" applyBorder="true" applyAlignment="true" applyProtection="false">
      <alignment horizontal="left" vertical="center" textRotation="0" wrapText="true" indent="0" shrinkToFit="false"/>
      <protection locked="true" hidden="false"/>
    </xf>
    <xf numFmtId="166" fontId="0" fillId="7" borderId="53" xfId="0" applyFont="true" applyBorder="true" applyAlignment="true" applyProtection="false">
      <alignment horizontal="left" vertical="center" textRotation="0" wrapText="false" indent="0" shrinkToFit="false"/>
      <protection locked="true" hidden="false"/>
    </xf>
    <xf numFmtId="166" fontId="0" fillId="7" borderId="37" xfId="0" applyFont="true" applyBorder="true" applyAlignment="true" applyProtection="false">
      <alignment horizontal="left" vertical="center" textRotation="0" wrapText="false" indent="0" shrinkToFit="false"/>
      <protection locked="true" hidden="false"/>
    </xf>
    <xf numFmtId="164" fontId="0" fillId="6" borderId="25" xfId="0" applyFont="true" applyBorder="true" applyAlignment="true" applyProtection="false">
      <alignment horizontal="left" vertical="center" textRotation="0" wrapText="false" indent="0" shrinkToFit="false"/>
      <protection locked="true" hidden="false"/>
    </xf>
    <xf numFmtId="164" fontId="0" fillId="0" borderId="6" xfId="0" applyFont="true" applyBorder="true" applyAlignment="true" applyProtection="false">
      <alignment horizontal="center" vertical="center" textRotation="0" wrapText="true" indent="0" shrinkToFit="false"/>
      <protection locked="true" hidden="false"/>
    </xf>
    <xf numFmtId="164" fontId="0" fillId="0" borderId="10" xfId="0" applyFont="true" applyBorder="true" applyAlignment="true" applyProtection="false">
      <alignment horizontal="center" vertical="center" textRotation="0" wrapText="true" indent="0" shrinkToFit="false"/>
      <protection locked="true" hidden="false"/>
    </xf>
    <xf numFmtId="166" fontId="0" fillId="8" borderId="43" xfId="0" applyFont="true" applyBorder="true" applyAlignment="true" applyProtection="false">
      <alignment horizontal="left" vertical="center" textRotation="0" wrapText="true" indent="0" shrinkToFit="false"/>
      <protection locked="true" hidden="false"/>
    </xf>
    <xf numFmtId="166" fontId="0" fillId="5" borderId="36" xfId="0" applyFont="true" applyBorder="true" applyAlignment="true" applyProtection="false">
      <alignment horizontal="left" vertical="center" textRotation="0" wrapText="true" indent="0" shrinkToFit="false"/>
      <protection locked="true" hidden="false"/>
    </xf>
    <xf numFmtId="166" fontId="0" fillId="0" borderId="20" xfId="0" applyFont="true" applyBorder="true" applyAlignment="true" applyProtection="false">
      <alignment horizontal="left" vertical="center" textRotation="0" wrapText="true" indent="0" shrinkToFit="false"/>
      <protection locked="true" hidden="false"/>
    </xf>
    <xf numFmtId="166" fontId="0" fillId="8" borderId="44" xfId="0" applyFont="true" applyBorder="true" applyAlignment="true" applyProtection="false">
      <alignment horizontal="left" vertical="center" textRotation="0" wrapText="true" indent="0" shrinkToFit="false"/>
      <protection locked="true" hidden="false"/>
    </xf>
    <xf numFmtId="166" fontId="0" fillId="7" borderId="37" xfId="0" applyFont="true" applyBorder="true" applyAlignment="true" applyProtection="false">
      <alignment horizontal="left" vertical="center" textRotation="0" wrapText="true" indent="0" shrinkToFit="false"/>
      <protection locked="true" hidden="false"/>
    </xf>
    <xf numFmtId="166" fontId="0" fillId="0" borderId="15" xfId="0" applyFont="true" applyBorder="true" applyAlignment="true" applyProtection="false">
      <alignment horizontal="left" vertical="center" textRotation="0" wrapText="false" indent="0" shrinkToFit="false"/>
      <protection locked="true" hidden="false"/>
    </xf>
    <xf numFmtId="166" fontId="0" fillId="7" borderId="10" xfId="0" applyFont="true" applyBorder="true" applyAlignment="true" applyProtection="false">
      <alignment horizontal="left" vertical="center" textRotation="0" wrapText="true" indent="0" shrinkToFit="false"/>
      <protection locked="true" hidden="false"/>
    </xf>
    <xf numFmtId="166" fontId="0" fillId="0" borderId="51" xfId="0" applyFont="false" applyBorder="true" applyAlignment="true" applyProtection="false">
      <alignment horizontal="left" vertical="center" textRotation="0" wrapText="false" indent="0" shrinkToFit="false"/>
      <protection locked="true" hidden="false"/>
    </xf>
    <xf numFmtId="166" fontId="0" fillId="0" borderId="0" xfId="0" applyFont="false" applyBorder="false" applyAlignment="true" applyProtection="false">
      <alignment horizontal="left" vertical="center" textRotation="0" wrapText="false" indent="0" shrinkToFit="false"/>
      <protection locked="true" hidden="false"/>
    </xf>
    <xf numFmtId="166" fontId="0" fillId="0" borderId="42" xfId="0" applyFont="false" applyBorder="true" applyAlignment="true" applyProtection="false">
      <alignment horizontal="left" vertical="center" textRotation="0" wrapText="false" indent="0" shrinkToFit="false"/>
      <protection locked="true" hidden="false"/>
    </xf>
    <xf numFmtId="164" fontId="5" fillId="3" borderId="2" xfId="0" applyFont="true" applyBorder="true" applyAlignment="true" applyProtection="false">
      <alignment horizontal="center" vertical="center" textRotation="0" wrapText="false" indent="0" shrinkToFit="false"/>
      <protection locked="true" hidden="false"/>
    </xf>
    <xf numFmtId="164" fontId="5" fillId="0" borderId="5" xfId="0" applyFont="true" applyBorder="true" applyAlignment="true" applyProtection="false">
      <alignment horizontal="center" vertical="center" textRotation="0" wrapText="true" indent="0" shrinkToFit="false"/>
      <protection locked="true" hidden="false"/>
    </xf>
    <xf numFmtId="164" fontId="5" fillId="0" borderId="6" xfId="0" applyFont="true" applyBorder="true" applyAlignment="true" applyProtection="false">
      <alignment horizontal="left" vertical="center" textRotation="0" wrapText="false" indent="0" shrinkToFit="false"/>
      <protection locked="true" hidden="false"/>
    </xf>
    <xf numFmtId="164" fontId="5" fillId="0" borderId="6" xfId="0" applyFont="true" applyBorder="true" applyAlignment="true" applyProtection="false">
      <alignment horizontal="general" vertical="center" textRotation="0" wrapText="true" indent="0" shrinkToFit="false"/>
      <protection locked="true" hidden="false"/>
    </xf>
    <xf numFmtId="164" fontId="5" fillId="0" borderId="7" xfId="0" applyFont="true" applyBorder="true" applyAlignment="true" applyProtection="false">
      <alignment horizontal="general" vertical="center" textRotation="0" wrapText="true" indent="0" shrinkToFit="false"/>
      <protection locked="true" hidden="false"/>
    </xf>
    <xf numFmtId="164" fontId="6" fillId="0" borderId="0" xfId="0" applyFont="true" applyBorder="true" applyAlignment="true" applyProtection="false">
      <alignment horizontal="left" vertical="center" textRotation="0" wrapText="false" indent="0" shrinkToFit="false"/>
      <protection locked="true" hidden="false"/>
    </xf>
    <xf numFmtId="164" fontId="0" fillId="0" borderId="0" xfId="0" applyFont="false" applyBorder="true" applyAlignment="true" applyProtection="false">
      <alignment horizontal="left" vertical="center" textRotation="0" wrapText="true" indent="0" shrinkToFit="false"/>
      <protection locked="true" hidden="false"/>
    </xf>
    <xf numFmtId="164" fontId="0" fillId="0" borderId="0" xfId="0" applyFont="false" applyBorder="true" applyAlignment="true" applyProtection="false">
      <alignment horizontal="left" vertical="center" textRotation="0" wrapText="false" indent="0" shrinkToFit="false"/>
      <protection locked="true" hidden="false"/>
    </xf>
    <xf numFmtId="166" fontId="0" fillId="8" borderId="34" xfId="0" applyFont="true" applyBorder="true" applyAlignment="true" applyProtection="false">
      <alignment horizontal="left" vertical="center" textRotation="0" wrapText="false" indent="0" shrinkToFit="false"/>
      <protection locked="true" hidden="false"/>
    </xf>
    <xf numFmtId="164" fontId="0" fillId="7" borderId="50" xfId="0" applyFont="true" applyBorder="true" applyAlignment="true" applyProtection="false">
      <alignment horizontal="left" vertical="center" textRotation="0" wrapText="true" indent="0" shrinkToFit="false"/>
      <protection locked="true" hidden="false"/>
    </xf>
    <xf numFmtId="166" fontId="0" fillId="7" borderId="51" xfId="0" applyFont="true" applyBorder="true" applyAlignment="true" applyProtection="false">
      <alignment horizontal="left" vertical="center" textRotation="0" wrapText="true" indent="0" shrinkToFit="false"/>
      <protection locked="true" hidden="false"/>
    </xf>
    <xf numFmtId="166" fontId="0" fillId="5" borderId="54" xfId="0" applyFont="true" applyBorder="true" applyAlignment="true" applyProtection="false">
      <alignment horizontal="left" vertical="center" textRotation="0" wrapText="true" indent="0" shrinkToFit="false"/>
      <protection locked="true" hidden="false"/>
    </xf>
    <xf numFmtId="164" fontId="0" fillId="7" borderId="9" xfId="0" applyFont="true" applyBorder="true" applyAlignment="true" applyProtection="false">
      <alignment horizontal="left" vertical="center" textRotation="0" wrapText="true" indent="0" shrinkToFit="false"/>
      <protection locked="true" hidden="false"/>
    </xf>
    <xf numFmtId="166" fontId="0" fillId="7" borderId="13" xfId="0" applyFont="false" applyBorder="true" applyAlignment="true" applyProtection="false">
      <alignment horizontal="left" vertical="center" textRotation="0" wrapText="true" indent="0" shrinkToFit="false"/>
      <protection locked="true" hidden="false"/>
    </xf>
    <xf numFmtId="166" fontId="0" fillId="7" borderId="21" xfId="0" applyFont="false" applyBorder="true" applyAlignment="true" applyProtection="false">
      <alignment horizontal="left" vertical="center" textRotation="0" wrapText="true" indent="0" shrinkToFit="false"/>
      <protection locked="true" hidden="false"/>
    </xf>
    <xf numFmtId="164" fontId="0" fillId="7" borderId="21" xfId="0" applyFont="true" applyBorder="true" applyAlignment="true" applyProtection="false">
      <alignment horizontal="left" vertical="center" textRotation="0" wrapText="false" indent="0" shrinkToFit="false"/>
      <protection locked="true" hidden="false"/>
    </xf>
    <xf numFmtId="166" fontId="0" fillId="7" borderId="21" xfId="0" applyFont="true" applyBorder="true" applyAlignment="true" applyProtection="false">
      <alignment horizontal="left" vertical="top" textRotation="0" wrapText="true" indent="0" shrinkToFit="false"/>
      <protection locked="true" hidden="false"/>
    </xf>
    <xf numFmtId="166" fontId="0" fillId="7" borderId="22" xfId="0" applyFont="false" applyBorder="true" applyAlignment="true" applyProtection="false">
      <alignment horizontal="left" vertical="center" textRotation="0" wrapText="true" indent="0" shrinkToFit="false"/>
      <protection locked="true" hidden="false"/>
    </xf>
    <xf numFmtId="166" fontId="0" fillId="8" borderId="10" xfId="0" applyFont="true" applyBorder="true" applyAlignment="true" applyProtection="false">
      <alignment horizontal="left" vertical="center" textRotation="0" wrapText="true" indent="0" shrinkToFit="false"/>
      <protection locked="true" hidden="false"/>
    </xf>
    <xf numFmtId="166" fontId="0" fillId="7" borderId="58" xfId="0" applyFont="true" applyBorder="true" applyAlignment="true" applyProtection="false">
      <alignment horizontal="left" vertical="center" textRotation="0" wrapText="false" indent="0" shrinkToFit="false"/>
      <protection locked="true" hidden="false"/>
    </xf>
    <xf numFmtId="164" fontId="6" fillId="0" borderId="9" xfId="0" applyFont="true" applyBorder="true" applyAlignment="true" applyProtection="false">
      <alignment horizontal="left" vertical="center" textRotation="0" wrapText="true" indent="0" shrinkToFit="false"/>
      <protection locked="true" hidden="false"/>
    </xf>
    <xf numFmtId="166" fontId="6" fillId="0" borderId="10" xfId="0" applyFont="true" applyBorder="true" applyAlignment="true" applyProtection="false">
      <alignment horizontal="left" vertical="center" textRotation="0" wrapText="true" indent="0" shrinkToFit="false"/>
      <protection locked="true" hidden="false"/>
    </xf>
    <xf numFmtId="166" fontId="6" fillId="0" borderId="11" xfId="0" applyFont="true" applyBorder="true" applyAlignment="true" applyProtection="false">
      <alignment horizontal="left" vertical="center" textRotation="0" wrapText="true" indent="0" shrinkToFit="false"/>
      <protection locked="true" hidden="false"/>
    </xf>
    <xf numFmtId="166" fontId="0" fillId="7" borderId="59" xfId="0" applyFont="true" applyBorder="true" applyAlignment="true" applyProtection="false">
      <alignment horizontal="left" vertical="center" textRotation="0" wrapText="false" indent="0" shrinkToFit="false"/>
      <protection locked="true" hidden="false"/>
    </xf>
    <xf numFmtId="166" fontId="0" fillId="0" borderId="60" xfId="0" applyFont="true" applyBorder="true" applyAlignment="true" applyProtection="false">
      <alignment horizontal="left" vertical="center" textRotation="0" wrapText="true" indent="0" shrinkToFit="false"/>
      <protection locked="true" hidden="false"/>
    </xf>
    <xf numFmtId="166" fontId="0" fillId="0" borderId="30" xfId="0" applyFont="true" applyBorder="true" applyAlignment="true" applyProtection="false">
      <alignment horizontal="left" vertical="center" textRotation="0" wrapText="true" indent="0" shrinkToFit="false"/>
      <protection locked="true" hidden="false"/>
    </xf>
    <xf numFmtId="166" fontId="0" fillId="6" borderId="32" xfId="0" applyFont="true" applyBorder="true" applyAlignment="true" applyProtection="false">
      <alignment horizontal="left" vertical="top" textRotation="0" wrapText="true" indent="0" shrinkToFit="false"/>
      <protection locked="true" hidden="false"/>
    </xf>
    <xf numFmtId="166" fontId="0" fillId="8" borderId="61" xfId="0" applyFont="true" applyBorder="true" applyAlignment="true" applyProtection="false">
      <alignment horizontal="left" vertical="center" textRotation="0" wrapText="true" indent="0" shrinkToFit="false"/>
      <protection locked="true" hidden="false"/>
    </xf>
    <xf numFmtId="166" fontId="0" fillId="7" borderId="13" xfId="0" applyFont="true" applyBorder="true" applyAlignment="true" applyProtection="false">
      <alignment horizontal="left" vertical="bottom" textRotation="0" wrapText="true" indent="0" shrinkToFit="false"/>
      <protection locked="true" hidden="false"/>
    </xf>
    <xf numFmtId="166" fontId="0" fillId="6" borderId="58" xfId="0" applyFont="true" applyBorder="true" applyAlignment="true" applyProtection="false">
      <alignment horizontal="left" vertical="center" textRotation="0" wrapText="true" indent="0" shrinkToFit="false"/>
      <protection locked="true" hidden="false"/>
    </xf>
    <xf numFmtId="166" fontId="0" fillId="8" borderId="12" xfId="0" applyFont="true" applyBorder="true" applyAlignment="true" applyProtection="false">
      <alignment horizontal="left" vertical="center" textRotation="0" wrapText="false" indent="0" shrinkToFit="false"/>
      <protection locked="true" hidden="false"/>
    </xf>
    <xf numFmtId="166" fontId="0" fillId="8" borderId="27" xfId="0" applyFont="true" applyBorder="true" applyAlignment="true" applyProtection="false">
      <alignment horizontal="left" vertical="center" textRotation="0" wrapText="false" indent="0" shrinkToFit="false"/>
      <protection locked="true" hidden="false"/>
    </xf>
    <xf numFmtId="166" fontId="0" fillId="0" borderId="54" xfId="0" applyFont="true" applyBorder="true" applyAlignment="true" applyProtection="false">
      <alignment horizontal="left" vertical="center" textRotation="0" wrapText="true" indent="0" shrinkToFit="false"/>
      <protection locked="true" hidden="false"/>
    </xf>
    <xf numFmtId="166" fontId="0" fillId="0" borderId="12" xfId="0" applyFont="true" applyBorder="true" applyAlignment="true" applyProtection="false">
      <alignment horizontal="left" vertical="center" textRotation="0" wrapText="false" indent="0" shrinkToFit="false"/>
      <protection locked="true" hidden="false"/>
    </xf>
    <xf numFmtId="166" fontId="0" fillId="0" borderId="27" xfId="0" applyFont="true" applyBorder="true" applyAlignment="true" applyProtection="false">
      <alignment horizontal="left" vertical="center" textRotation="0" wrapText="false" indent="0" shrinkToFit="false"/>
      <protection locked="true" hidden="false"/>
    </xf>
    <xf numFmtId="166" fontId="0" fillId="0" borderId="13" xfId="0" applyFont="true" applyBorder="true" applyAlignment="true" applyProtection="false">
      <alignment horizontal="left" vertical="center" textRotation="0" wrapText="true" indent="0" shrinkToFit="false"/>
      <protection locked="true" hidden="false"/>
    </xf>
    <xf numFmtId="164" fontId="6" fillId="0" borderId="60" xfId="0" applyFont="true" applyBorder="true" applyAlignment="true" applyProtection="false">
      <alignment horizontal="left" vertical="center" textRotation="0" wrapText="false" indent="0" shrinkToFit="false"/>
      <protection locked="true" hidden="false"/>
    </xf>
    <xf numFmtId="164" fontId="0" fillId="0" borderId="59" xfId="0" applyFont="false" applyBorder="true" applyAlignment="true" applyProtection="false">
      <alignment horizontal="center" vertical="center" textRotation="0" wrapText="false" indent="0" shrinkToFit="false"/>
      <protection locked="true" hidden="false"/>
    </xf>
    <xf numFmtId="166" fontId="0" fillId="6" borderId="59" xfId="0" applyFont="true" applyBorder="true" applyAlignment="true" applyProtection="false">
      <alignment horizontal="left" vertical="center" textRotation="0" wrapText="true" indent="0" shrinkToFit="false"/>
      <protection locked="true" hidden="false"/>
    </xf>
    <xf numFmtId="166" fontId="0" fillId="6" borderId="13" xfId="0" applyFont="true" applyBorder="true" applyAlignment="true" applyProtection="false">
      <alignment horizontal="left" vertical="bottom" textRotation="0" wrapText="true" indent="0" shrinkToFit="false"/>
      <protection locked="true" hidden="false"/>
    </xf>
    <xf numFmtId="166" fontId="0" fillId="0" borderId="59" xfId="0" applyFont="true" applyBorder="true" applyAlignment="true" applyProtection="false">
      <alignment horizontal="left" vertical="center" textRotation="0" wrapText="false" indent="0" shrinkToFit="false"/>
      <protection locked="true" hidden="false"/>
    </xf>
    <xf numFmtId="166" fontId="0" fillId="0" borderId="59" xfId="0" applyFont="true" applyBorder="true" applyAlignment="true" applyProtection="false">
      <alignment horizontal="left" vertical="center" textRotation="0" wrapText="false" indent="0" shrinkToFit="false"/>
      <protection locked="true" hidden="false"/>
    </xf>
    <xf numFmtId="166" fontId="0" fillId="0" borderId="20" xfId="0" applyFont="true" applyBorder="true" applyAlignment="true" applyProtection="false">
      <alignment horizontal="left" vertical="center" textRotation="0" wrapText="true" indent="0" shrinkToFit="false"/>
      <protection locked="true" hidden="false"/>
    </xf>
    <xf numFmtId="166" fontId="0" fillId="6" borderId="36" xfId="0" applyFont="true" applyBorder="true" applyAlignment="true" applyProtection="false">
      <alignment horizontal="left" vertical="center" textRotation="0" wrapText="false" indent="0" shrinkToFit="false"/>
      <protection locked="true" hidden="false"/>
    </xf>
    <xf numFmtId="166" fontId="0" fillId="0" borderId="36" xfId="0" applyFont="true" applyBorder="true" applyAlignment="true" applyProtection="false">
      <alignment horizontal="left" vertical="center" textRotation="0" wrapText="true" indent="0" shrinkToFit="false"/>
      <protection locked="true" hidden="false"/>
    </xf>
    <xf numFmtId="169" fontId="6" fillId="0" borderId="11" xfId="0" applyFont="true" applyBorder="true" applyAlignment="true" applyProtection="false">
      <alignment horizontal="center" vertical="center" textRotation="0" wrapText="false" indent="0" shrinkToFit="false"/>
      <protection locked="true" hidden="false"/>
    </xf>
    <xf numFmtId="169" fontId="6" fillId="0" borderId="17" xfId="0" applyFont="true" applyBorder="true" applyAlignment="true" applyProtection="false">
      <alignment horizontal="center" vertical="center" textRotation="0" wrapText="false" indent="0" shrinkToFit="false"/>
      <protection locked="true" hidden="false"/>
    </xf>
    <xf numFmtId="164" fontId="8" fillId="0" borderId="9" xfId="0" applyFont="true" applyBorder="true" applyAlignment="true" applyProtection="false">
      <alignment horizontal="general" vertical="center" textRotation="0" wrapText="false" indent="0" shrinkToFit="false"/>
      <protection locked="true" hidden="false"/>
    </xf>
    <xf numFmtId="170" fontId="6" fillId="9" borderId="6" xfId="0" applyFont="true" applyBorder="true" applyAlignment="true" applyProtection="false">
      <alignment horizontal="center" vertical="center" textRotation="0" wrapText="false" indent="0" shrinkToFit="false"/>
      <protection locked="true" hidden="false"/>
    </xf>
    <xf numFmtId="170" fontId="6" fillId="2" borderId="10" xfId="0" applyFont="true" applyBorder="true" applyAlignment="true" applyProtection="false">
      <alignment horizontal="center" vertical="center"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11" fillId="3" borderId="0" xfId="0" applyFont="true" applyBorder="true" applyAlignment="true" applyProtection="false">
      <alignment horizontal="center" vertical="center" textRotation="0" wrapText="false" indent="0" shrinkToFit="false"/>
      <protection locked="true" hidden="false"/>
    </xf>
    <xf numFmtId="164" fontId="0" fillId="3" borderId="0" xfId="0" applyFont="false" applyBorder="false" applyAlignment="false" applyProtection="false">
      <alignment horizontal="general" vertical="bottom" textRotation="0" wrapText="false" indent="0" shrinkToFit="false"/>
      <protection locked="true" hidden="false"/>
    </xf>
    <xf numFmtId="164" fontId="12" fillId="3" borderId="0" xfId="0" applyFont="true" applyBorder="true" applyAlignment="true" applyProtection="false">
      <alignment horizontal="center" vertical="center" textRotation="0" wrapText="false" indent="0" shrinkToFit="false"/>
      <protection locked="true" hidden="false"/>
    </xf>
    <xf numFmtId="164" fontId="13" fillId="3" borderId="0" xfId="0" applyFont="true" applyBorder="false" applyAlignment="true" applyProtection="false">
      <alignment horizontal="general" vertical="center" textRotation="0" wrapText="false" indent="0" shrinkToFit="false"/>
      <protection locked="true" hidden="false"/>
    </xf>
    <xf numFmtId="164" fontId="13" fillId="0" borderId="0" xfId="0" applyFont="true" applyBorder="false" applyAlignment="true" applyProtection="false">
      <alignment horizontal="general" vertical="center" textRotation="0" wrapText="false" indent="0" shrinkToFit="false"/>
      <protection locked="true" hidden="false"/>
    </xf>
    <xf numFmtId="164" fontId="0" fillId="3" borderId="0" xfId="0" applyFont="false" applyBorder="false" applyAlignment="true" applyProtection="false">
      <alignment horizontal="center" vertical="bottom" textRotation="0" wrapText="false" indent="0" shrinkToFit="false"/>
      <protection locked="true" hidden="false"/>
    </xf>
    <xf numFmtId="164" fontId="5" fillId="3" borderId="0" xfId="0" applyFont="true" applyBorder="false" applyAlignment="true" applyProtection="false">
      <alignment horizontal="center" vertical="center" textRotation="0" wrapText="false" indent="0" shrinkToFit="false"/>
      <protection locked="true" hidden="false"/>
    </xf>
    <xf numFmtId="164" fontId="5" fillId="0" borderId="57" xfId="0" applyFont="true" applyBorder="true" applyAlignment="true" applyProtection="false">
      <alignment horizontal="center" vertical="center" textRotation="0" wrapText="false" indent="0" shrinkToFit="false"/>
      <protection locked="true" hidden="false"/>
    </xf>
    <xf numFmtId="164" fontId="5" fillId="0" borderId="14" xfId="0" applyFont="true" applyBorder="true" applyAlignment="true" applyProtection="false">
      <alignment horizontal="center" vertical="center" textRotation="0" wrapText="true" indent="0" shrinkToFit="false"/>
      <protection locked="true" hidden="false"/>
    </xf>
    <xf numFmtId="164" fontId="5" fillId="0" borderId="19" xfId="0" applyFont="true" applyBorder="true" applyAlignment="true" applyProtection="false">
      <alignment horizontal="center" vertical="center" textRotation="0" wrapText="true" indent="0" shrinkToFit="false"/>
      <protection locked="true" hidden="false"/>
    </xf>
    <xf numFmtId="164" fontId="5" fillId="0" borderId="14" xfId="0" applyFont="true" applyBorder="true" applyAlignment="true" applyProtection="false">
      <alignment horizontal="center" vertical="center" textRotation="0" wrapText="false" indent="0" shrinkToFit="false"/>
      <protection locked="true" hidden="false"/>
    </xf>
    <xf numFmtId="164" fontId="5" fillId="0" borderId="19" xfId="0" applyFont="true" applyBorder="true" applyAlignment="true" applyProtection="false">
      <alignment horizontal="center" vertical="center" textRotation="0" wrapText="false" indent="0" shrinkToFit="false"/>
      <protection locked="true" hidden="false"/>
    </xf>
    <xf numFmtId="164" fontId="5" fillId="0" borderId="55" xfId="0" applyFont="true" applyBorder="true" applyAlignment="true" applyProtection="false">
      <alignment horizontal="center" vertical="center" textRotation="0" wrapText="false" indent="0" shrinkToFit="false"/>
      <protection locked="true" hidden="false"/>
    </xf>
    <xf numFmtId="164" fontId="0" fillId="3" borderId="0" xfId="0" applyFont="false" applyBorder="false" applyAlignment="true" applyProtection="false">
      <alignment horizontal="center" vertical="center" textRotation="0" wrapText="false" indent="0" shrinkToFit="false"/>
      <protection locked="true" hidden="false"/>
    </xf>
    <xf numFmtId="164" fontId="5" fillId="10" borderId="20" xfId="0" applyFont="true" applyBorder="true" applyAlignment="true" applyProtection="false">
      <alignment horizontal="center" vertical="center" textRotation="0" wrapText="false" indent="0" shrinkToFit="false"/>
      <protection locked="true" hidden="false"/>
    </xf>
    <xf numFmtId="164" fontId="5" fillId="10" borderId="5" xfId="0" applyFont="true" applyBorder="true" applyAlignment="true" applyProtection="false">
      <alignment horizontal="center" vertical="center" textRotation="0" wrapText="false" indent="0" shrinkToFit="false"/>
      <protection locked="true" hidden="false"/>
    </xf>
    <xf numFmtId="164" fontId="0" fillId="10" borderId="6" xfId="0" applyFont="true" applyBorder="true" applyAlignment="true" applyProtection="false">
      <alignment horizontal="center" vertical="center" textRotation="0" wrapText="false" indent="0" shrinkToFit="false"/>
      <protection locked="true" hidden="false"/>
    </xf>
    <xf numFmtId="164" fontId="0" fillId="10" borderId="7" xfId="0" applyFont="true" applyBorder="true" applyAlignment="true" applyProtection="false">
      <alignment horizontal="center" vertical="center" textRotation="0" wrapText="false" indent="0" shrinkToFit="false"/>
      <protection locked="true" hidden="false"/>
    </xf>
    <xf numFmtId="164" fontId="0" fillId="10" borderId="35" xfId="0" applyFont="true" applyBorder="true" applyAlignment="true" applyProtection="false">
      <alignment horizontal="center" vertical="center" textRotation="0" wrapText="true" indent="0" shrinkToFit="false"/>
      <protection locked="true" hidden="false"/>
    </xf>
    <xf numFmtId="164" fontId="0" fillId="10" borderId="6" xfId="0" applyFont="true" applyBorder="true" applyAlignment="true" applyProtection="false">
      <alignment horizontal="center" vertical="center" textRotation="0" wrapText="true" indent="0" shrinkToFit="false"/>
      <protection locked="true" hidden="false"/>
    </xf>
    <xf numFmtId="164" fontId="0" fillId="10" borderId="45" xfId="0" applyFont="true" applyBorder="true" applyAlignment="true" applyProtection="false">
      <alignment horizontal="center" vertical="center" textRotation="0" wrapText="true" indent="0" shrinkToFit="false"/>
      <protection locked="true" hidden="false"/>
    </xf>
    <xf numFmtId="164" fontId="0" fillId="10" borderId="5" xfId="0" applyFont="true" applyBorder="true" applyAlignment="true" applyProtection="false">
      <alignment horizontal="center" vertical="center" textRotation="0" wrapText="true" indent="0" shrinkToFit="false"/>
      <protection locked="true" hidden="false"/>
    </xf>
    <xf numFmtId="164" fontId="0" fillId="10" borderId="45" xfId="0" applyFont="true" applyBorder="true" applyAlignment="true" applyProtection="false">
      <alignment horizontal="center" vertical="center" textRotation="0" wrapText="false" indent="0" shrinkToFit="false"/>
      <protection locked="true" hidden="false"/>
    </xf>
    <xf numFmtId="164" fontId="0" fillId="10" borderId="5" xfId="0" applyFont="true" applyBorder="true" applyAlignment="true" applyProtection="false">
      <alignment horizontal="center" vertical="center" textRotation="0" wrapText="false" indent="0" shrinkToFit="false"/>
      <protection locked="true" hidden="false"/>
    </xf>
    <xf numFmtId="164" fontId="5" fillId="11" borderId="36" xfId="0" applyFont="true" applyBorder="true" applyAlignment="true" applyProtection="false">
      <alignment horizontal="center" vertical="center" textRotation="0" wrapText="false" indent="0" shrinkToFit="false"/>
      <protection locked="true" hidden="false"/>
    </xf>
    <xf numFmtId="164" fontId="5" fillId="11" borderId="9" xfId="0" applyFont="true" applyBorder="true" applyAlignment="true" applyProtection="false">
      <alignment horizontal="center" vertical="center" textRotation="0" wrapText="false" indent="0" shrinkToFit="false"/>
      <protection locked="true" hidden="false"/>
    </xf>
    <xf numFmtId="164" fontId="0" fillId="11" borderId="10" xfId="0" applyFont="true" applyBorder="true" applyAlignment="true" applyProtection="false">
      <alignment horizontal="center" vertical="center" textRotation="0" wrapText="false" indent="0" shrinkToFit="false"/>
      <protection locked="true" hidden="false"/>
    </xf>
    <xf numFmtId="164" fontId="0" fillId="11" borderId="11" xfId="0" applyFont="true" applyBorder="true" applyAlignment="true" applyProtection="false">
      <alignment horizontal="center" vertical="center" textRotation="0" wrapText="false" indent="0" shrinkToFit="false"/>
      <protection locked="true" hidden="false"/>
    </xf>
    <xf numFmtId="164" fontId="0" fillId="11" borderId="25" xfId="0" applyFont="true" applyBorder="true" applyAlignment="true" applyProtection="false">
      <alignment horizontal="center" vertical="center" textRotation="0" wrapText="true" indent="0" shrinkToFit="false"/>
      <protection locked="true" hidden="false"/>
    </xf>
    <xf numFmtId="164" fontId="0" fillId="11" borderId="10" xfId="0" applyFont="true" applyBorder="true" applyAlignment="true" applyProtection="false">
      <alignment horizontal="center" vertical="center" textRotation="0" wrapText="true" indent="0" shrinkToFit="false"/>
      <protection locked="true" hidden="false"/>
    </xf>
    <xf numFmtId="164" fontId="0" fillId="11" borderId="23" xfId="0" applyFont="true" applyBorder="true" applyAlignment="true" applyProtection="false">
      <alignment horizontal="center" vertical="center" textRotation="0" wrapText="true" indent="0" shrinkToFit="false"/>
      <protection locked="true" hidden="false"/>
    </xf>
    <xf numFmtId="164" fontId="0" fillId="11" borderId="9" xfId="0" applyFont="true" applyBorder="true" applyAlignment="true" applyProtection="false">
      <alignment horizontal="center" vertical="center" textRotation="0" wrapText="true" indent="0" shrinkToFit="false"/>
      <protection locked="true" hidden="false"/>
    </xf>
    <xf numFmtId="164" fontId="0" fillId="11" borderId="23" xfId="0" applyFont="true" applyBorder="true" applyAlignment="true" applyProtection="false">
      <alignment horizontal="center" vertical="center" textRotation="0" wrapText="false" indent="0" shrinkToFit="false"/>
      <protection locked="true" hidden="false"/>
    </xf>
    <xf numFmtId="164" fontId="0" fillId="11" borderId="9" xfId="0" applyFont="true" applyBorder="true" applyAlignment="true" applyProtection="false">
      <alignment horizontal="center" vertical="center" textRotation="0" wrapText="false" indent="0" shrinkToFit="false"/>
      <protection locked="true" hidden="false"/>
    </xf>
    <xf numFmtId="164" fontId="5" fillId="12" borderId="36" xfId="0" applyFont="true" applyBorder="true" applyAlignment="true" applyProtection="false">
      <alignment horizontal="center" vertical="center" textRotation="0" wrapText="false" indent="0" shrinkToFit="false"/>
      <protection locked="true" hidden="false"/>
    </xf>
    <xf numFmtId="164" fontId="9" fillId="12" borderId="9" xfId="0" applyFont="true" applyBorder="true" applyAlignment="true" applyProtection="false">
      <alignment horizontal="center" vertical="center" textRotation="0" wrapText="false" indent="0" shrinkToFit="false"/>
      <protection locked="true" hidden="false"/>
    </xf>
    <xf numFmtId="164" fontId="6" fillId="12" borderId="10" xfId="0" applyFont="true" applyBorder="true" applyAlignment="true" applyProtection="false">
      <alignment horizontal="center" vertical="center" textRotation="0" wrapText="false" indent="0" shrinkToFit="false"/>
      <protection locked="true" hidden="false"/>
    </xf>
    <xf numFmtId="164" fontId="0" fillId="12" borderId="10" xfId="0" applyFont="true" applyBorder="true" applyAlignment="true" applyProtection="false">
      <alignment horizontal="center" vertical="center" textRotation="0" wrapText="true" indent="0" shrinkToFit="false"/>
      <protection locked="true" hidden="false"/>
    </xf>
    <xf numFmtId="164" fontId="0" fillId="12" borderId="11" xfId="0" applyFont="true" applyBorder="true" applyAlignment="true" applyProtection="false">
      <alignment horizontal="center" vertical="center" textRotation="0" wrapText="false" indent="0" shrinkToFit="false"/>
      <protection locked="true" hidden="false"/>
    </xf>
    <xf numFmtId="164" fontId="0" fillId="12" borderId="25" xfId="0" applyFont="true" applyBorder="true" applyAlignment="true" applyProtection="false">
      <alignment horizontal="center" vertical="center" textRotation="0" wrapText="true" indent="0" shrinkToFit="false"/>
      <protection locked="true" hidden="false"/>
    </xf>
    <xf numFmtId="164" fontId="0" fillId="12" borderId="10" xfId="0" applyFont="true" applyBorder="true" applyAlignment="true" applyProtection="false">
      <alignment horizontal="center" vertical="center" textRotation="0" wrapText="false" indent="0" shrinkToFit="false"/>
      <protection locked="true" hidden="false"/>
    </xf>
    <xf numFmtId="164" fontId="0" fillId="12" borderId="23" xfId="0" applyFont="true" applyBorder="true" applyAlignment="true" applyProtection="false">
      <alignment horizontal="center" vertical="center" textRotation="0" wrapText="true" indent="0" shrinkToFit="false"/>
      <protection locked="true" hidden="false"/>
    </xf>
    <xf numFmtId="164" fontId="0" fillId="12" borderId="9" xfId="0" applyFont="true" applyBorder="true" applyAlignment="true" applyProtection="false">
      <alignment horizontal="center" vertical="center" textRotation="0" wrapText="true" indent="0" shrinkToFit="false"/>
      <protection locked="true" hidden="false"/>
    </xf>
    <xf numFmtId="164" fontId="0" fillId="12" borderId="9" xfId="0" applyFont="true" applyBorder="true" applyAlignment="true" applyProtection="false">
      <alignment horizontal="center" vertical="center" textRotation="0" wrapText="false" indent="0" shrinkToFit="false"/>
      <protection locked="true" hidden="false"/>
    </xf>
    <xf numFmtId="164" fontId="5" fillId="0" borderId="36" xfId="0" applyFont="true" applyBorder="true" applyAlignment="true" applyProtection="false">
      <alignment horizontal="center" vertical="center" textRotation="0" wrapText="false" indent="0" shrinkToFit="false"/>
      <protection locked="true" hidden="false"/>
    </xf>
    <xf numFmtId="164" fontId="9" fillId="0" borderId="9" xfId="0" applyFont="true" applyBorder="true" applyAlignment="true" applyProtection="false">
      <alignment horizontal="center" vertical="center" textRotation="0" wrapText="false" indent="0" shrinkToFit="false"/>
      <protection locked="true" hidden="false"/>
    </xf>
    <xf numFmtId="164" fontId="6" fillId="0" borderId="10" xfId="0" applyFont="true" applyBorder="true" applyAlignment="true" applyProtection="false">
      <alignment horizontal="center" vertical="center" textRotation="0" wrapText="false" indent="0" shrinkToFit="false"/>
      <protection locked="true" hidden="false"/>
    </xf>
    <xf numFmtId="164" fontId="0" fillId="0" borderId="10" xfId="0" applyFont="true" applyBorder="true" applyAlignment="true" applyProtection="false">
      <alignment horizontal="center" vertical="center" textRotation="0" wrapText="true" indent="0" shrinkToFit="false"/>
      <protection locked="true" hidden="false"/>
    </xf>
    <xf numFmtId="164" fontId="0" fillId="0" borderId="11" xfId="0" applyFont="true" applyBorder="true" applyAlignment="true" applyProtection="false">
      <alignment horizontal="center" vertical="center" textRotation="0" wrapText="false" indent="0" shrinkToFit="false"/>
      <protection locked="true" hidden="false"/>
    </xf>
    <xf numFmtId="164" fontId="0" fillId="0" borderId="25" xfId="0" applyFont="true" applyBorder="true" applyAlignment="true" applyProtection="false">
      <alignment horizontal="center" vertical="center" textRotation="0" wrapText="true" indent="0" shrinkToFit="false"/>
      <protection locked="true" hidden="false"/>
    </xf>
    <xf numFmtId="164" fontId="0" fillId="0" borderId="23" xfId="0" applyFont="true" applyBorder="true" applyAlignment="true" applyProtection="false">
      <alignment horizontal="center" vertical="center" textRotation="0" wrapText="true" indent="0" shrinkToFit="false"/>
      <protection locked="true" hidden="false"/>
    </xf>
    <xf numFmtId="164" fontId="0" fillId="0" borderId="9" xfId="0" applyFont="true" applyBorder="true" applyAlignment="true" applyProtection="false">
      <alignment horizontal="center" vertical="center" textRotation="0" wrapText="true" indent="0" shrinkToFit="false"/>
      <protection locked="true" hidden="false"/>
    </xf>
    <xf numFmtId="164" fontId="0" fillId="0" borderId="10" xfId="0" applyFont="true" applyBorder="true" applyAlignment="true" applyProtection="false">
      <alignment horizontal="center" vertical="center" textRotation="0" wrapText="false" indent="0" shrinkToFit="false"/>
      <protection locked="true" hidden="false"/>
    </xf>
    <xf numFmtId="164" fontId="0" fillId="0" borderId="11" xfId="0" applyFont="true" applyBorder="true" applyAlignment="true" applyProtection="false">
      <alignment horizontal="center" vertical="center" textRotation="0" wrapText="true" indent="0" shrinkToFit="false"/>
      <protection locked="true" hidden="false"/>
    </xf>
    <xf numFmtId="164" fontId="5" fillId="0" borderId="36" xfId="0" applyFont="true" applyBorder="true" applyAlignment="true" applyProtection="false">
      <alignment horizontal="center" vertical="center" textRotation="0" wrapText="false" indent="0" shrinkToFit="false"/>
      <protection locked="true" hidden="false"/>
    </xf>
    <xf numFmtId="164" fontId="5" fillId="0" borderId="9" xfId="0" applyFont="true" applyBorder="true" applyAlignment="true" applyProtection="false">
      <alignment horizontal="center" vertical="center" textRotation="0" wrapText="false" indent="0" shrinkToFit="false"/>
      <protection locked="true" hidden="false"/>
    </xf>
    <xf numFmtId="164" fontId="0" fillId="0" borderId="10" xfId="0" applyFont="true" applyBorder="true" applyAlignment="true" applyProtection="false">
      <alignment horizontal="center" vertical="center" textRotation="0" wrapText="false" indent="0" shrinkToFit="false"/>
      <protection locked="true" hidden="false"/>
    </xf>
    <xf numFmtId="164" fontId="0" fillId="0" borderId="11" xfId="0" applyFont="true" applyBorder="true" applyAlignment="true" applyProtection="false">
      <alignment horizontal="center" vertical="center" textRotation="0" wrapText="false" indent="0" shrinkToFit="false"/>
      <protection locked="true" hidden="false"/>
    </xf>
    <xf numFmtId="164" fontId="0" fillId="0" borderId="25" xfId="0" applyFont="true" applyBorder="true" applyAlignment="true" applyProtection="false">
      <alignment horizontal="center" vertical="center" textRotation="0" wrapText="true" indent="0" shrinkToFit="false"/>
      <protection locked="true" hidden="false"/>
    </xf>
    <xf numFmtId="164" fontId="0" fillId="0" borderId="23" xfId="0" applyFont="true" applyBorder="true" applyAlignment="true" applyProtection="false">
      <alignment horizontal="center" vertical="center" textRotation="0" wrapText="true" indent="0" shrinkToFit="false"/>
      <protection locked="true" hidden="false"/>
    </xf>
    <xf numFmtId="164" fontId="0" fillId="0" borderId="9" xfId="0" applyFont="true" applyBorder="true" applyAlignment="true" applyProtection="false">
      <alignment horizontal="center" vertical="center" textRotation="0" wrapText="true" indent="0" shrinkToFit="false"/>
      <protection locked="true" hidden="false"/>
    </xf>
    <xf numFmtId="164" fontId="0" fillId="0" borderId="23" xfId="0" applyFont="true" applyBorder="true" applyAlignment="true" applyProtection="false">
      <alignment horizontal="center" vertical="center" textRotation="0" wrapText="false" indent="0" shrinkToFit="false"/>
      <protection locked="true" hidden="false"/>
    </xf>
    <xf numFmtId="164" fontId="9" fillId="0" borderId="9" xfId="0" applyFont="true" applyBorder="true" applyAlignment="true" applyProtection="false">
      <alignment horizontal="center" vertical="center" textRotation="0" wrapText="false" indent="0" shrinkToFit="false"/>
      <protection locked="true" hidden="false"/>
    </xf>
    <xf numFmtId="164" fontId="0" fillId="0" borderId="11" xfId="0" applyFont="true" applyBorder="true" applyAlignment="true" applyProtection="false">
      <alignment horizontal="center" vertical="center" textRotation="0" wrapText="true" indent="0" shrinkToFit="false"/>
      <protection locked="true" hidden="false"/>
    </xf>
    <xf numFmtId="164" fontId="0" fillId="0" borderId="29" xfId="0" applyFont="true" applyBorder="true" applyAlignment="true" applyProtection="false">
      <alignment horizontal="center" vertical="center" textRotation="0" wrapText="false" indent="0" shrinkToFit="false"/>
      <protection locked="true" hidden="false"/>
    </xf>
    <xf numFmtId="164" fontId="0" fillId="0" borderId="26" xfId="0" applyFont="true" applyBorder="true" applyAlignment="true" applyProtection="false">
      <alignment horizontal="center" vertical="center" textRotation="0" wrapText="false" indent="0" shrinkToFit="false"/>
      <protection locked="true" hidden="false"/>
    </xf>
    <xf numFmtId="164" fontId="0" fillId="0" borderId="12" xfId="0" applyFont="true" applyBorder="true" applyAlignment="true" applyProtection="false">
      <alignment horizontal="center" vertical="center" textRotation="0" wrapText="true" indent="0" shrinkToFit="false"/>
      <protection locked="true" hidden="false"/>
    </xf>
    <xf numFmtId="164" fontId="0" fillId="0" borderId="12" xfId="0" applyFont="true" applyBorder="true" applyAlignment="true" applyProtection="false">
      <alignment horizontal="center" vertical="center" textRotation="0" wrapText="false" indent="0" shrinkToFit="false"/>
      <protection locked="true" hidden="false"/>
    </xf>
    <xf numFmtId="164" fontId="0" fillId="0" borderId="26" xfId="0" applyFont="true" applyBorder="true" applyAlignment="true" applyProtection="false">
      <alignment horizontal="center" vertical="center" textRotation="0" wrapText="true" indent="0" shrinkToFit="false"/>
      <protection locked="true" hidden="false"/>
    </xf>
    <xf numFmtId="164" fontId="0" fillId="0" borderId="27" xfId="0" applyFont="true" applyBorder="true" applyAlignment="true" applyProtection="false">
      <alignment horizontal="center" vertical="center" textRotation="0" wrapText="true" indent="0" shrinkToFit="false"/>
      <protection locked="true" hidden="false"/>
    </xf>
    <xf numFmtId="164" fontId="0" fillId="0" borderId="13" xfId="0" applyFont="true" applyBorder="true" applyAlignment="true" applyProtection="false">
      <alignment horizontal="center" vertical="center" textRotation="0" wrapText="true" indent="0" shrinkToFit="false"/>
      <protection locked="true" hidden="false"/>
    </xf>
    <xf numFmtId="164" fontId="5" fillId="0" borderId="37" xfId="0" applyFont="true" applyBorder="true" applyAlignment="true" applyProtection="false">
      <alignment horizontal="center" vertical="center" textRotation="0" wrapText="false" indent="0" shrinkToFit="false"/>
      <protection locked="true" hidden="false"/>
    </xf>
    <xf numFmtId="164" fontId="9" fillId="0" borderId="15" xfId="0" applyFont="true" applyBorder="true" applyAlignment="true" applyProtection="false">
      <alignment horizontal="center" vertical="center" textRotation="0" wrapText="false" indent="0" shrinkToFit="false"/>
      <protection locked="true" hidden="false"/>
    </xf>
    <xf numFmtId="164" fontId="0" fillId="0" borderId="16" xfId="0" applyFont="false" applyBorder="true" applyAlignment="true" applyProtection="false">
      <alignment horizontal="center" vertical="center" textRotation="0" wrapText="true" indent="0" shrinkToFit="false"/>
      <protection locked="true" hidden="false"/>
    </xf>
    <xf numFmtId="164" fontId="0" fillId="0" borderId="15" xfId="0" applyFont="true" applyBorder="true" applyAlignment="true" applyProtection="false">
      <alignment horizontal="center" vertical="center" textRotation="0" wrapText="true" indent="0" shrinkToFit="false"/>
      <protection locked="true" hidden="false"/>
    </xf>
    <xf numFmtId="164" fontId="0" fillId="0" borderId="44" xfId="0" applyFont="true" applyBorder="true" applyAlignment="true" applyProtection="false">
      <alignment horizontal="center" vertical="center" textRotation="0" wrapText="true" indent="0" shrinkToFit="false"/>
      <protection locked="true" hidden="false"/>
    </xf>
    <xf numFmtId="164" fontId="0" fillId="0" borderId="17" xfId="0" applyFont="true" applyBorder="true" applyAlignment="true" applyProtection="false">
      <alignment horizontal="center" vertical="center" textRotation="0" wrapText="true" indent="0" shrinkToFit="false"/>
      <protection locked="true" hidden="false"/>
    </xf>
    <xf numFmtId="164" fontId="10" fillId="7" borderId="0" xfId="0" applyFont="true" applyBorder="true" applyAlignment="true" applyProtection="false">
      <alignment horizontal="center" vertical="center" textRotation="0" wrapText="false" indent="0" shrinkToFit="false"/>
      <protection locked="true" hidden="false"/>
    </xf>
    <xf numFmtId="164" fontId="0" fillId="7" borderId="0" xfId="0" applyFont="false" applyBorder="false" applyAlignment="false" applyProtection="false">
      <alignment horizontal="general" vertical="bottom" textRotation="0" wrapText="false" indent="0" shrinkToFit="false"/>
      <protection locked="true" hidden="false"/>
    </xf>
    <xf numFmtId="164" fontId="0" fillId="3" borderId="62" xfId="0" applyFont="true" applyBorder="true" applyAlignment="true" applyProtection="false">
      <alignment horizontal="left" vertical="bottom" textRotation="0" wrapText="false" indent="0" shrinkToFit="false"/>
      <protection locked="true" hidden="false"/>
    </xf>
    <xf numFmtId="164" fontId="5" fillId="3" borderId="63" xfId="0" applyFont="true" applyBorder="true" applyAlignment="false" applyProtection="false">
      <alignment horizontal="general" vertical="bottom" textRotation="0" wrapText="false" indent="0" shrinkToFit="false"/>
      <protection locked="true" hidden="false"/>
    </xf>
    <xf numFmtId="164" fontId="0" fillId="2" borderId="62" xfId="0" applyFont="true" applyBorder="true" applyAlignment="true" applyProtection="false">
      <alignment horizontal="left" vertical="bottom" textRotation="0" wrapText="false" indent="0" shrinkToFit="false"/>
      <protection locked="true" hidden="false"/>
    </xf>
    <xf numFmtId="164" fontId="5" fillId="2" borderId="40" xfId="0" applyFont="true" applyBorder="true" applyAlignment="false" applyProtection="false">
      <alignment horizontal="general" vertical="bottom" textRotation="0" wrapText="false" indent="0" shrinkToFit="false"/>
      <protection locked="true" hidden="false"/>
    </xf>
    <xf numFmtId="164" fontId="5" fillId="0" borderId="38" xfId="0" applyFont="true" applyBorder="true" applyAlignment="false" applyProtection="false">
      <alignment horizontal="general" vertical="bottom" textRotation="0" wrapText="false" indent="0" shrinkToFit="false"/>
      <protection locked="true" hidden="false"/>
    </xf>
    <xf numFmtId="164" fontId="5" fillId="0" borderId="18" xfId="0" applyFont="true" applyBorder="true" applyAlignment="true" applyProtection="false">
      <alignment horizontal="center" vertical="bottom" textRotation="0" wrapText="false" indent="0" shrinkToFit="false"/>
      <protection locked="true" hidden="false"/>
    </xf>
    <xf numFmtId="164" fontId="5" fillId="0" borderId="33" xfId="0" applyFont="true" applyBorder="true" applyAlignment="true" applyProtection="false">
      <alignment horizontal="center" vertical="bottom" textRotation="0" wrapText="false" indent="0" shrinkToFit="false"/>
      <protection locked="true" hidden="false"/>
    </xf>
    <xf numFmtId="164" fontId="0" fillId="0" borderId="46" xfId="0" applyFont="false" applyBorder="true" applyAlignment="true" applyProtection="false">
      <alignment horizontal="center" vertical="bottom" textRotation="0" wrapText="false" indent="0" shrinkToFit="false"/>
      <protection locked="true" hidden="false"/>
    </xf>
    <xf numFmtId="164" fontId="0" fillId="0" borderId="64" xfId="0" applyFont="true" applyBorder="true" applyAlignment="true" applyProtection="false">
      <alignment horizontal="left" vertical="bottom" textRotation="0" wrapText="false" indent="0" shrinkToFit="false"/>
      <protection locked="true" hidden="false"/>
    </xf>
    <xf numFmtId="164" fontId="0" fillId="0" borderId="64" xfId="0" applyFont="true" applyBorder="true" applyAlignment="true" applyProtection="false">
      <alignment horizontal="center" vertical="bottom" textRotation="0" wrapText="false" indent="0" shrinkToFit="false"/>
      <protection locked="true" hidden="false"/>
    </xf>
    <xf numFmtId="164" fontId="0" fillId="0" borderId="22" xfId="0" applyFont="false" applyBorder="true" applyAlignment="true" applyProtection="false">
      <alignment horizontal="center" vertical="bottom" textRotation="0" wrapText="false" indent="0" shrinkToFit="false"/>
      <protection locked="true" hidden="false"/>
    </xf>
    <xf numFmtId="164" fontId="0" fillId="0" borderId="9" xfId="0" applyFont="false" applyBorder="true" applyAlignment="true" applyProtection="false">
      <alignment horizontal="center" vertical="bottom" textRotation="0" wrapText="false" indent="0" shrinkToFit="false"/>
      <protection locked="true" hidden="false"/>
    </xf>
    <xf numFmtId="164" fontId="0" fillId="0" borderId="10" xfId="0" applyFont="true" applyBorder="true" applyAlignment="true" applyProtection="false">
      <alignment horizontal="left" vertical="bottom" textRotation="0" wrapText="false" indent="0" shrinkToFit="false"/>
      <protection locked="true" hidden="false"/>
    </xf>
    <xf numFmtId="164" fontId="0" fillId="0" borderId="10" xfId="0" applyFont="true" applyBorder="true" applyAlignment="true" applyProtection="false">
      <alignment horizontal="center" vertical="bottom" textRotation="0" wrapText="false" indent="0" shrinkToFit="false"/>
      <protection locked="true" hidden="false"/>
    </xf>
    <xf numFmtId="164" fontId="0" fillId="0" borderId="11" xfId="0" applyFont="false" applyBorder="true" applyAlignment="true" applyProtection="false">
      <alignment horizontal="center" vertical="bottom" textRotation="0" wrapText="false" indent="0" shrinkToFit="false"/>
      <protection locked="true" hidden="false"/>
    </xf>
    <xf numFmtId="164" fontId="0" fillId="0" borderId="15" xfId="0" applyFont="false" applyBorder="true" applyAlignment="true" applyProtection="false">
      <alignment horizontal="center" vertical="bottom" textRotation="0" wrapText="false" indent="0" shrinkToFit="false"/>
      <protection locked="true" hidden="false"/>
    </xf>
    <xf numFmtId="164" fontId="0" fillId="0" borderId="16" xfId="0" applyFont="false" applyBorder="true" applyAlignment="true" applyProtection="false">
      <alignment horizontal="left" vertical="bottom" textRotation="0" wrapText="false" indent="0" shrinkToFit="false"/>
      <protection locked="true" hidden="false"/>
    </xf>
    <xf numFmtId="164" fontId="0" fillId="0" borderId="16" xfId="0" applyFont="false" applyBorder="true" applyAlignment="true" applyProtection="false">
      <alignment horizontal="center" vertical="bottom" textRotation="0" wrapText="false" indent="0" shrinkToFit="false"/>
      <protection locked="true" hidden="false"/>
    </xf>
    <xf numFmtId="164" fontId="0" fillId="0" borderId="17" xfId="0" applyFont="false" applyBorder="true" applyAlignment="true" applyProtection="false">
      <alignment horizontal="center" vertical="bottom" textRotation="0" wrapText="false" indent="0" shrinkToFit="false"/>
      <protection locked="true" hidden="false"/>
    </xf>
    <xf numFmtId="164" fontId="0" fillId="7" borderId="0" xfId="0" applyFont="false" applyBorder="false" applyAlignment="true" applyProtection="false">
      <alignment horizontal="center" vertical="bottom" textRotation="0" wrapText="false" indent="0" shrinkToFit="false"/>
      <protection locked="true" hidden="false"/>
    </xf>
    <xf numFmtId="164" fontId="0" fillId="7" borderId="0" xfId="0" applyFont="false" applyBorder="false" applyAlignment="true" applyProtection="false">
      <alignment horizontal="left" vertical="bottom" textRotation="0" wrapText="false" indent="0" shrinkToFit="false"/>
      <protection locked="true" hidden="false"/>
    </xf>
    <xf numFmtId="164" fontId="8" fillId="0" borderId="10" xfId="0" applyFont="true" applyBorder="true" applyAlignment="true" applyProtection="false">
      <alignment horizontal="left" vertical="bottom" textRotation="0" wrapText="false" indent="0" shrinkToFit="false"/>
      <protection locked="true" hidden="false"/>
    </xf>
    <xf numFmtId="164" fontId="8" fillId="0" borderId="10" xfId="0" applyFont="true" applyBorder="true" applyAlignment="true" applyProtection="false">
      <alignment horizontal="center" vertical="bottom" textRotation="0" wrapText="false" indent="0" shrinkToFit="false"/>
      <protection locked="true" hidden="false"/>
    </xf>
    <xf numFmtId="164" fontId="8" fillId="0" borderId="11" xfId="0" applyFont="true" applyBorder="true" applyAlignment="true" applyProtection="false">
      <alignment horizontal="center" vertical="bottom" textRotation="0" wrapText="false" indent="0" shrinkToFit="false"/>
      <protection locked="true" hidden="false"/>
    </xf>
    <xf numFmtId="164" fontId="5" fillId="3" borderId="1" xfId="0" applyFont="true" applyBorder="true" applyAlignment="true" applyProtection="false">
      <alignment horizontal="left" vertical="center" textRotation="0" wrapText="false" indent="0" shrinkToFit="false"/>
      <protection locked="true" hidden="false"/>
    </xf>
    <xf numFmtId="164" fontId="0" fillId="0" borderId="46" xfId="0" applyFont="true" applyBorder="true" applyAlignment="true" applyProtection="false">
      <alignment horizontal="general" vertical="center" textRotation="0" wrapText="false" indent="0" shrinkToFit="false"/>
      <protection locked="true" hidden="false"/>
    </xf>
    <xf numFmtId="164" fontId="0" fillId="0" borderId="22" xfId="0" applyFont="true" applyBorder="true" applyAlignment="true" applyProtection="false">
      <alignment horizontal="general" vertical="center" textRotation="0" wrapText="false" indent="0" shrinkToFit="false"/>
      <protection locked="true" hidden="false"/>
    </xf>
    <xf numFmtId="164" fontId="0" fillId="0" borderId="11" xfId="0" applyFont="true" applyBorder="true" applyAlignment="true" applyProtection="false">
      <alignment horizontal="general" vertical="center" textRotation="0" wrapText="false" indent="0" shrinkToFit="false"/>
      <protection locked="true" hidden="false"/>
    </xf>
    <xf numFmtId="164" fontId="0" fillId="0" borderId="15" xfId="0" applyFont="true" applyBorder="true" applyAlignment="true" applyProtection="false">
      <alignment horizontal="general" vertical="center"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374">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s>
  <colors>
    <indexedColors>
      <rgbColor rgb="FF000000"/>
      <rgbColor rgb="FFFFFFFF"/>
      <rgbColor rgb="FFFF0000"/>
      <rgbColor rgb="FF00FF00"/>
      <rgbColor rgb="FF0000FF"/>
      <rgbColor rgb="FFFFFF00"/>
      <rgbColor rgb="FFFF33CC"/>
      <rgbColor rgb="FF00FFFF"/>
      <rgbColor rgb="FF800000"/>
      <rgbColor rgb="FF008000"/>
      <rgbColor rgb="FF000080"/>
      <rgbColor rgb="FF808000"/>
      <rgbColor rgb="FF800080"/>
      <rgbColor rgb="FF008080"/>
      <rgbColor rgb="FFB2B2B2"/>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B0F0"/>
      <rgbColor rgb="FFCCFFFF"/>
      <rgbColor rgb="FFCCFFCC"/>
      <rgbColor rgb="FFFFFF99"/>
      <rgbColor rgb="FF99CCFF"/>
      <rgbColor rgb="FFFF99CC"/>
      <rgbColor rgb="FFCC99FF"/>
      <rgbColor rgb="FFFFCC99"/>
      <rgbColor rgb="FF3366FF"/>
      <rgbColor rgb="FF33CCCC"/>
      <rgbColor rgb="FF92D050"/>
      <rgbColor rgb="FFFFCC00"/>
      <rgbColor rgb="FFFFC000"/>
      <rgbColor rgb="FFCC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sharedStrings" Target="sharedStrings.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213"/>
  <sheetViews>
    <sheetView showFormulas="false" showGridLines="false" showRowColHeaders="true" showZeros="true" rightToLeft="false" tabSelected="false" showOutlineSymbols="true" defaultGridColor="true" view="normal" topLeftCell="A166" colorId="64" zoomScale="100" zoomScaleNormal="100" zoomScalePageLayoutView="100" workbookViewId="0">
      <selection pane="topLeft" activeCell="E41" activeCellId="0" sqref="E41"/>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6"/>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2" t="s">
        <v>0</v>
      </c>
      <c r="B1" s="2"/>
      <c r="C1" s="2"/>
      <c r="D1" s="2"/>
      <c r="E1" s="2"/>
      <c r="F1" s="2"/>
      <c r="G1" s="2"/>
      <c r="H1" s="2"/>
      <c r="I1" s="2"/>
      <c r="J1" s="2"/>
      <c r="K1" s="2"/>
      <c r="L1" s="2"/>
      <c r="M1" s="2"/>
      <c r="N1" s="2"/>
    </row>
    <row r="2" customFormat="false" ht="15" hidden="false" customHeight="false" outlineLevel="0" collapsed="false">
      <c r="A2" s="2"/>
      <c r="B2" s="2"/>
      <c r="C2" s="2"/>
      <c r="D2" s="2"/>
      <c r="E2" s="2"/>
      <c r="F2" s="2"/>
      <c r="G2" s="2"/>
      <c r="H2" s="2"/>
      <c r="I2" s="2"/>
      <c r="J2" s="2"/>
      <c r="K2" s="2"/>
      <c r="L2" s="2"/>
      <c r="M2" s="2"/>
      <c r="N2" s="2"/>
    </row>
    <row r="3" customFormat="false" ht="20.1" hidden="false" customHeight="true" outlineLevel="0" collapsed="false"/>
    <row r="4" customFormat="false" ht="15.75" hidden="false" customHeight="false" outlineLevel="0" collapsed="false">
      <c r="B4" s="3" t="s">
        <v>1</v>
      </c>
      <c r="C4" s="3"/>
      <c r="D4" s="3"/>
      <c r="E4" s="3"/>
      <c r="F4" s="3"/>
      <c r="G4" s="3"/>
      <c r="H4" s="3"/>
      <c r="J4" s="3" t="s">
        <v>2</v>
      </c>
      <c r="K4" s="3"/>
      <c r="L4" s="3"/>
      <c r="O4" s="4"/>
      <c r="P4" s="4"/>
      <c r="Q4" s="4"/>
      <c r="R4" s="5"/>
      <c r="S4" s="4"/>
      <c r="T4" s="4"/>
      <c r="U4" s="4"/>
      <c r="V4" s="4"/>
    </row>
    <row r="5" customFormat="false" ht="50.1" hidden="false" customHeight="true" outlineLevel="0" collapsed="false">
      <c r="B5" s="6" t="s">
        <v>3</v>
      </c>
      <c r="C5" s="6"/>
      <c r="D5" s="7" t="s">
        <v>4</v>
      </c>
      <c r="E5" s="8" t="s">
        <v>5</v>
      </c>
      <c r="F5" s="8" t="s">
        <v>6</v>
      </c>
      <c r="G5" s="9" t="s">
        <v>7</v>
      </c>
      <c r="H5" s="8" t="s">
        <v>8</v>
      </c>
      <c r="J5" s="10" t="s">
        <v>4</v>
      </c>
      <c r="K5" s="11" t="s">
        <v>9</v>
      </c>
      <c r="L5" s="12" t="s">
        <v>10</v>
      </c>
      <c r="O5" s="5"/>
      <c r="Q5" s="4"/>
      <c r="R5" s="4"/>
      <c r="S5" s="4"/>
      <c r="T5" s="5"/>
      <c r="U5" s="5"/>
    </row>
    <row r="6" customFormat="false" ht="20.1" hidden="false" customHeight="true" outlineLevel="0" collapsed="false">
      <c r="B6" s="13" t="n">
        <v>1</v>
      </c>
      <c r="C6" s="13"/>
      <c r="D6" s="14" t="s">
        <v>11</v>
      </c>
      <c r="E6" s="14" t="s">
        <v>12</v>
      </c>
      <c r="F6" s="15" t="s">
        <v>12</v>
      </c>
      <c r="G6" s="16" t="s">
        <v>13</v>
      </c>
      <c r="H6" s="17" t="s">
        <v>14</v>
      </c>
      <c r="J6" s="18" t="str">
        <f aca="false">D6</f>
        <v>Bea Kittner</v>
      </c>
      <c r="K6" s="19" t="n">
        <v>1</v>
      </c>
      <c r="L6" s="20" t="n">
        <v>1</v>
      </c>
      <c r="O6" s="21"/>
      <c r="T6" s="21"/>
      <c r="U6" s="21"/>
    </row>
    <row r="7" customFormat="false" ht="20.1" hidden="false" customHeight="true" outlineLevel="0" collapsed="false">
      <c r="B7" s="22" t="n">
        <v>2</v>
      </c>
      <c r="C7" s="22"/>
      <c r="D7" s="23" t="s">
        <v>15</v>
      </c>
      <c r="E7" s="23" t="s">
        <v>16</v>
      </c>
      <c r="F7" s="23" t="s">
        <v>16</v>
      </c>
      <c r="G7" s="23" t="s">
        <v>16</v>
      </c>
      <c r="H7" s="24" t="s">
        <v>14</v>
      </c>
      <c r="J7" s="25" t="str">
        <f aca="false">D7</f>
        <v>Devid Fulterer</v>
      </c>
      <c r="K7" s="19"/>
      <c r="L7" s="26" t="n">
        <v>2</v>
      </c>
      <c r="O7" s="21"/>
      <c r="T7" s="21"/>
      <c r="U7" s="21"/>
    </row>
    <row r="8" customFormat="false" ht="20.1" hidden="false" customHeight="true" outlineLevel="0" collapsed="false">
      <c r="B8" s="22" t="n">
        <v>3</v>
      </c>
      <c r="C8" s="22"/>
      <c r="D8" s="23" t="s">
        <v>17</v>
      </c>
      <c r="E8" s="23" t="s">
        <v>18</v>
      </c>
      <c r="F8" s="23" t="s">
        <v>19</v>
      </c>
      <c r="G8" s="23" t="s">
        <v>19</v>
      </c>
      <c r="H8" s="24" t="s">
        <v>14</v>
      </c>
      <c r="J8" s="25" t="str">
        <f aca="false">D8</f>
        <v>Judith Fulterer</v>
      </c>
      <c r="K8" s="19"/>
      <c r="L8" s="26" t="n">
        <v>3</v>
      </c>
      <c r="O8" s="21"/>
      <c r="T8" s="21"/>
      <c r="U8" s="21"/>
    </row>
    <row r="9" customFormat="false" ht="20.1" hidden="false" customHeight="true" outlineLevel="0" collapsed="false">
      <c r="B9" s="22" t="n">
        <v>4</v>
      </c>
      <c r="C9" s="22"/>
      <c r="D9" s="23" t="s">
        <v>20</v>
      </c>
      <c r="E9" s="23" t="s">
        <v>21</v>
      </c>
      <c r="F9" s="23" t="s">
        <v>21</v>
      </c>
      <c r="G9" s="23" t="s">
        <v>21</v>
      </c>
      <c r="H9" s="24" t="s">
        <v>14</v>
      </c>
      <c r="J9" s="27" t="str">
        <f aca="false">D9</f>
        <v>Andreas Micke</v>
      </c>
      <c r="K9" s="19"/>
      <c r="L9" s="28" t="n">
        <v>4</v>
      </c>
      <c r="O9" s="21"/>
      <c r="T9" s="21"/>
      <c r="U9" s="21"/>
    </row>
    <row r="10" customFormat="false" ht="20.1" hidden="false" customHeight="true" outlineLevel="0" collapsed="false">
      <c r="B10" s="22" t="n">
        <v>5</v>
      </c>
      <c r="C10" s="22"/>
      <c r="D10" s="29" t="s">
        <v>22</v>
      </c>
      <c r="E10" s="23" t="s">
        <v>23</v>
      </c>
      <c r="F10" s="30" t="s">
        <v>23</v>
      </c>
      <c r="G10" s="23" t="s">
        <v>23</v>
      </c>
      <c r="H10" s="24" t="s">
        <v>14</v>
      </c>
      <c r="J10" s="18" t="str">
        <f aca="false">D10</f>
        <v>Pauline Micke</v>
      </c>
      <c r="K10" s="31" t="n">
        <v>2</v>
      </c>
      <c r="L10" s="20" t="n">
        <v>1</v>
      </c>
      <c r="O10" s="21"/>
      <c r="T10" s="21"/>
      <c r="U10" s="21"/>
    </row>
    <row r="11" customFormat="false" ht="20.1" hidden="false" customHeight="true" outlineLevel="0" collapsed="false">
      <c r="B11" s="22" t="n">
        <v>6</v>
      </c>
      <c r="C11" s="22"/>
      <c r="D11" s="23" t="s">
        <v>24</v>
      </c>
      <c r="E11" s="23" t="s">
        <v>25</v>
      </c>
      <c r="F11" s="23" t="s">
        <v>25</v>
      </c>
      <c r="G11" s="23" t="s">
        <v>25</v>
      </c>
      <c r="H11" s="24" t="s">
        <v>14</v>
      </c>
      <c r="J11" s="25" t="str">
        <f aca="false">D11</f>
        <v>Jonas Röhrig</v>
      </c>
      <c r="K11" s="31"/>
      <c r="L11" s="26" t="n">
        <v>2</v>
      </c>
      <c r="O11" s="21"/>
      <c r="T11" s="21"/>
      <c r="U11" s="21"/>
    </row>
    <row r="12" customFormat="false" ht="20.1" hidden="false" customHeight="true" outlineLevel="0" collapsed="false">
      <c r="B12" s="22" t="n">
        <v>7</v>
      </c>
      <c r="C12" s="22"/>
      <c r="D12" s="29" t="s">
        <v>26</v>
      </c>
      <c r="E12" s="29" t="s">
        <v>27</v>
      </c>
      <c r="F12" s="32" t="s">
        <v>27</v>
      </c>
      <c r="G12" s="23" t="s">
        <v>27</v>
      </c>
      <c r="H12" s="24" t="s">
        <v>14</v>
      </c>
      <c r="J12" s="25" t="str">
        <f aca="false">D12</f>
        <v>Markus Hagenauer</v>
      </c>
      <c r="K12" s="31"/>
      <c r="L12" s="26" t="n">
        <v>3</v>
      </c>
      <c r="O12" s="21"/>
      <c r="T12" s="21"/>
      <c r="U12" s="21"/>
    </row>
    <row r="13" customFormat="false" ht="20.1" hidden="false" customHeight="true" outlineLevel="0" collapsed="false">
      <c r="B13" s="22" t="n">
        <v>8</v>
      </c>
      <c r="C13" s="22"/>
      <c r="D13" s="33" t="s">
        <v>28</v>
      </c>
      <c r="E13" s="29" t="s">
        <v>29</v>
      </c>
      <c r="F13" s="32" t="s">
        <v>29</v>
      </c>
      <c r="G13" s="34" t="s">
        <v>13</v>
      </c>
      <c r="H13" s="24" t="s">
        <v>14</v>
      </c>
      <c r="J13" s="27" t="str">
        <f aca="false">D13</f>
        <v>Charlotte Schöpges</v>
      </c>
      <c r="K13" s="31"/>
      <c r="L13" s="28" t="n">
        <v>4</v>
      </c>
      <c r="O13" s="21"/>
      <c r="T13" s="21"/>
      <c r="U13" s="21"/>
    </row>
    <row r="14" customFormat="false" ht="20.1" hidden="false" customHeight="true" outlineLevel="0" collapsed="false">
      <c r="B14" s="22" t="n">
        <v>9</v>
      </c>
      <c r="C14" s="22"/>
      <c r="D14" s="33" t="s">
        <v>30</v>
      </c>
      <c r="E14" s="29" t="s">
        <v>31</v>
      </c>
      <c r="F14" s="32" t="s">
        <v>31</v>
      </c>
      <c r="G14" s="34" t="s">
        <v>31</v>
      </c>
      <c r="H14" s="35" t="s">
        <v>32</v>
      </c>
      <c r="J14" s="18" t="str">
        <f aca="false">D14</f>
        <v>Fabian Spaniol</v>
      </c>
      <c r="K14" s="19" t="n">
        <v>3</v>
      </c>
      <c r="L14" s="20" t="n">
        <v>1</v>
      </c>
      <c r="O14" s="21"/>
      <c r="T14" s="21"/>
      <c r="U14" s="21"/>
    </row>
    <row r="15" customFormat="false" ht="20.1" hidden="false" customHeight="true" outlineLevel="0" collapsed="false">
      <c r="B15" s="22" t="n">
        <v>10</v>
      </c>
      <c r="C15" s="22"/>
      <c r="D15" s="29" t="s">
        <v>33</v>
      </c>
      <c r="E15" s="29" t="s">
        <v>34</v>
      </c>
      <c r="F15" s="32" t="s">
        <v>34</v>
      </c>
      <c r="G15" s="23" t="s">
        <v>34</v>
      </c>
      <c r="H15" s="24" t="s">
        <v>14</v>
      </c>
      <c r="J15" s="25" t="str">
        <f aca="false">D15</f>
        <v>Kai Maibaum</v>
      </c>
      <c r="K15" s="19"/>
      <c r="L15" s="26" t="n">
        <v>2</v>
      </c>
      <c r="O15" s="21"/>
      <c r="T15" s="21"/>
      <c r="U15" s="21"/>
    </row>
    <row r="16" customFormat="false" ht="20.1" hidden="false" customHeight="true" outlineLevel="0" collapsed="false">
      <c r="B16" s="22" t="n">
        <v>11</v>
      </c>
      <c r="C16" s="22"/>
      <c r="D16" s="29" t="s">
        <v>35</v>
      </c>
      <c r="E16" s="29" t="s">
        <v>36</v>
      </c>
      <c r="F16" s="32" t="s">
        <v>36</v>
      </c>
      <c r="G16" s="23" t="s">
        <v>36</v>
      </c>
      <c r="H16" s="24" t="s">
        <v>14</v>
      </c>
      <c r="J16" s="36" t="str">
        <f aca="false">D16</f>
        <v>Daniel Zimmermann</v>
      </c>
      <c r="K16" s="19"/>
      <c r="L16" s="26" t="n">
        <v>3</v>
      </c>
      <c r="O16" s="21"/>
      <c r="T16" s="21"/>
      <c r="U16" s="21"/>
    </row>
    <row r="17" customFormat="false" ht="20.1" hidden="false" customHeight="true" outlineLevel="0" collapsed="false">
      <c r="B17" s="37" t="n">
        <v>12</v>
      </c>
      <c r="C17" s="37"/>
      <c r="D17" s="38" t="s">
        <v>37</v>
      </c>
      <c r="E17" s="39" t="s">
        <v>38</v>
      </c>
      <c r="F17" s="40" t="s">
        <v>13</v>
      </c>
      <c r="G17" s="41" t="s">
        <v>13</v>
      </c>
      <c r="H17" s="42" t="s">
        <v>14</v>
      </c>
      <c r="J17" s="43" t="str">
        <f aca="false">D17</f>
        <v>Marc Lambrecht</v>
      </c>
      <c r="K17" s="19"/>
      <c r="L17" s="44" t="n">
        <v>4</v>
      </c>
      <c r="O17" s="21"/>
      <c r="T17" s="21"/>
      <c r="U17" s="21"/>
    </row>
    <row r="18" customFormat="false" ht="20.1" hidden="false" customHeight="true" outlineLevel="0" collapsed="false">
      <c r="D18" s="45"/>
      <c r="E18" s="45"/>
      <c r="F18" s="45"/>
      <c r="G18" s="45"/>
      <c r="H18" s="46"/>
      <c r="J18" s="47" t="s">
        <v>39</v>
      </c>
      <c r="K18" s="47"/>
      <c r="L18" s="48" t="n">
        <f aca="false">ROWS(L6:L17)</f>
        <v>12</v>
      </c>
      <c r="N18" s="4"/>
      <c r="O18" s="4"/>
      <c r="Q18" s="4"/>
      <c r="R18" s="4"/>
      <c r="S18" s="4"/>
      <c r="T18" s="4"/>
    </row>
    <row r="19" customFormat="false" ht="15.75" hidden="false" customHeight="false" outlineLevel="0" collapsed="false">
      <c r="B19" s="3" t="s">
        <v>40</v>
      </c>
      <c r="C19" s="3"/>
      <c r="D19" s="3"/>
      <c r="E19" s="3"/>
      <c r="F19" s="3"/>
      <c r="G19" s="3"/>
      <c r="K19" s="49"/>
      <c r="L19" s="49"/>
      <c r="M19" s="49"/>
      <c r="N19" s="5"/>
      <c r="O19" s="4"/>
      <c r="P19" s="4"/>
      <c r="R19" s="4"/>
      <c r="S19" s="4"/>
      <c r="T19" s="4"/>
      <c r="U19" s="4"/>
    </row>
    <row r="20" customFormat="false" ht="30.75" hidden="false" customHeight="true" outlineLevel="0" collapsed="false">
      <c r="B20" s="6" t="s">
        <v>41</v>
      </c>
      <c r="C20" s="6"/>
      <c r="D20" s="50" t="s">
        <v>4</v>
      </c>
      <c r="E20" s="8" t="s">
        <v>5</v>
      </c>
      <c r="F20" s="8" t="s">
        <v>6</v>
      </c>
      <c r="G20" s="9" t="s">
        <v>7</v>
      </c>
      <c r="K20" s="49"/>
      <c r="L20" s="49"/>
      <c r="M20" s="49"/>
      <c r="N20" s="5"/>
      <c r="O20" s="4"/>
      <c r="P20" s="4"/>
      <c r="R20" s="4"/>
      <c r="S20" s="4"/>
      <c r="T20" s="4"/>
      <c r="U20" s="4"/>
    </row>
    <row r="21" customFormat="false" ht="20.1" hidden="false" customHeight="true" outlineLevel="0" collapsed="false">
      <c r="B21" s="51" t="n">
        <v>1</v>
      </c>
      <c r="C21" s="51"/>
      <c r="D21" s="52" t="s">
        <v>42</v>
      </c>
      <c r="E21" s="14" t="s">
        <v>43</v>
      </c>
      <c r="F21" s="15" t="s">
        <v>43</v>
      </c>
      <c r="G21" s="53" t="s">
        <v>43</v>
      </c>
      <c r="N21" s="4"/>
      <c r="O21" s="4"/>
      <c r="Q21" s="4"/>
      <c r="R21" s="4"/>
      <c r="S21" s="4"/>
      <c r="T21" s="4"/>
    </row>
    <row r="22" customFormat="false" ht="20.1" hidden="false" customHeight="true" outlineLevel="0" collapsed="false">
      <c r="B22" s="54" t="n">
        <v>2</v>
      </c>
      <c r="C22" s="54"/>
      <c r="D22" s="38" t="s">
        <v>44</v>
      </c>
      <c r="E22" s="39" t="s">
        <v>45</v>
      </c>
      <c r="F22" s="40" t="s">
        <v>46</v>
      </c>
      <c r="G22" s="55" t="s">
        <v>45</v>
      </c>
      <c r="N22" s="4"/>
      <c r="O22" s="4"/>
      <c r="Q22" s="4"/>
      <c r="R22" s="4"/>
      <c r="S22" s="4"/>
      <c r="T22" s="4"/>
    </row>
    <row r="23" customFormat="false" ht="20.1" hidden="false" customHeight="true" outlineLevel="0" collapsed="false">
      <c r="L23" s="49"/>
      <c r="M23" s="49"/>
      <c r="N23" s="49"/>
      <c r="O23" s="5"/>
      <c r="P23" s="4"/>
      <c r="Q23" s="4"/>
      <c r="S23" s="4"/>
      <c r="T23" s="4"/>
      <c r="U23" s="4"/>
      <c r="V23" s="4"/>
    </row>
    <row r="24" customFormat="false" ht="20.1" hidden="false" customHeight="true" outlineLevel="0" collapsed="false">
      <c r="B24" s="56"/>
      <c r="C24" s="56"/>
      <c r="D24" s="57"/>
      <c r="E24" s="57"/>
      <c r="F24" s="57"/>
      <c r="G24" s="57"/>
      <c r="H24" s="56"/>
      <c r="I24" s="56"/>
      <c r="J24" s="56"/>
      <c r="K24" s="56"/>
      <c r="L24" s="56"/>
      <c r="M24" s="56"/>
      <c r="N24" s="56"/>
      <c r="O24" s="56"/>
      <c r="P24" s="56"/>
      <c r="Q24" s="56"/>
      <c r="R24" s="56"/>
      <c r="S24" s="56"/>
      <c r="T24" s="56"/>
      <c r="U24" s="56"/>
    </row>
    <row r="25" customFormat="false" ht="30" hidden="false" customHeight="true" outlineLevel="0" collapsed="false">
      <c r="B25" s="56"/>
      <c r="C25" s="58" t="s">
        <v>47</v>
      </c>
      <c r="D25" s="58"/>
      <c r="E25" s="58"/>
      <c r="F25" s="58"/>
      <c r="G25" s="58"/>
      <c r="H25" s="58"/>
      <c r="I25" s="58"/>
      <c r="J25" s="58"/>
      <c r="K25" s="58"/>
      <c r="L25" s="58"/>
      <c r="M25" s="58"/>
      <c r="N25" s="58"/>
      <c r="O25" s="58"/>
      <c r="P25" s="58"/>
      <c r="Q25" s="58"/>
      <c r="R25" s="58"/>
      <c r="S25" s="58"/>
      <c r="T25" s="58"/>
      <c r="U25" s="56"/>
    </row>
    <row r="26" customFormat="false" ht="20.1" hidden="false" customHeight="true" outlineLevel="0" collapsed="false">
      <c r="B26" s="56"/>
      <c r="U26" s="56"/>
    </row>
    <row r="27" customFormat="false" ht="20.1" hidden="false" customHeight="true" outlineLevel="0" collapsed="false">
      <c r="B27" s="56"/>
      <c r="D27" s="59" t="s">
        <v>48</v>
      </c>
      <c r="E27" s="60" t="s">
        <v>49</v>
      </c>
      <c r="F27" s="61" t="s">
        <v>10</v>
      </c>
      <c r="G27" s="60" t="s">
        <v>50</v>
      </c>
      <c r="H27" s="60"/>
      <c r="I27" s="60"/>
      <c r="J27" s="60"/>
      <c r="K27" s="60" t="s">
        <v>51</v>
      </c>
      <c r="L27" s="62" t="s">
        <v>52</v>
      </c>
      <c r="M27" s="62"/>
      <c r="N27" s="62"/>
      <c r="O27" s="62"/>
      <c r="P27" s="62"/>
      <c r="Q27" s="62"/>
      <c r="R27" s="62"/>
      <c r="S27" s="62"/>
      <c r="U27" s="56"/>
    </row>
    <row r="28" customFormat="false" ht="20.1" hidden="false" customHeight="true" outlineLevel="0" collapsed="false">
      <c r="B28" s="56"/>
      <c r="D28" s="59"/>
      <c r="E28" s="60"/>
      <c r="F28" s="60"/>
      <c r="G28" s="63" t="s">
        <v>53</v>
      </c>
      <c r="H28" s="63" t="s">
        <v>54</v>
      </c>
      <c r="I28" s="64" t="s">
        <v>55</v>
      </c>
      <c r="J28" s="64"/>
      <c r="K28" s="65" t="s">
        <v>56</v>
      </c>
      <c r="L28" s="65" t="s">
        <v>53</v>
      </c>
      <c r="M28" s="66" t="s">
        <v>57</v>
      </c>
      <c r="N28" s="61" t="s">
        <v>55</v>
      </c>
      <c r="O28" s="61"/>
      <c r="P28" s="61"/>
      <c r="Q28" s="61"/>
      <c r="R28" s="61"/>
      <c r="S28" s="61"/>
      <c r="U28" s="56"/>
    </row>
    <row r="29" customFormat="false" ht="27.95" hidden="false" customHeight="true" outlineLevel="0" collapsed="false">
      <c r="B29" s="56"/>
      <c r="D29" s="67" t="s">
        <v>11</v>
      </c>
      <c r="E29" s="14" t="s">
        <v>12</v>
      </c>
      <c r="F29" s="20" t="n">
        <v>1</v>
      </c>
      <c r="G29" s="68" t="s">
        <v>58</v>
      </c>
      <c r="H29" s="69" t="s">
        <v>59</v>
      </c>
      <c r="I29" s="70" t="s">
        <v>60</v>
      </c>
      <c r="J29" s="70"/>
      <c r="K29" s="71" t="s">
        <v>61</v>
      </c>
      <c r="L29" s="72" t="s">
        <v>62</v>
      </c>
      <c r="M29" s="73" t="s">
        <v>62</v>
      </c>
      <c r="N29" s="74" t="s">
        <v>62</v>
      </c>
      <c r="O29" s="74"/>
      <c r="P29" s="74"/>
      <c r="Q29" s="74"/>
      <c r="R29" s="74"/>
      <c r="S29" s="74"/>
      <c r="U29" s="56"/>
    </row>
    <row r="30" customFormat="false" ht="15" hidden="false" customHeight="true" outlineLevel="0" collapsed="false">
      <c r="B30" s="56"/>
      <c r="D30" s="67"/>
      <c r="E30" s="14"/>
      <c r="F30" s="20"/>
      <c r="G30" s="68"/>
      <c r="H30" s="69"/>
      <c r="I30" s="75" t="s">
        <v>63</v>
      </c>
      <c r="J30" s="75"/>
      <c r="K30" s="71"/>
      <c r="L30" s="72"/>
      <c r="M30" s="73"/>
      <c r="N30" s="74"/>
      <c r="O30" s="74"/>
      <c r="P30" s="74"/>
      <c r="Q30" s="74"/>
      <c r="R30" s="74"/>
      <c r="S30" s="74"/>
      <c r="U30" s="56"/>
    </row>
    <row r="31" customFormat="false" ht="15" hidden="false" customHeight="true" outlineLevel="0" collapsed="false">
      <c r="B31" s="56"/>
      <c r="D31" s="67"/>
      <c r="E31" s="14"/>
      <c r="F31" s="20"/>
      <c r="G31" s="68"/>
      <c r="H31" s="69"/>
      <c r="I31" s="76" t="s">
        <v>64</v>
      </c>
      <c r="J31" s="76"/>
      <c r="K31" s="71"/>
      <c r="L31" s="72"/>
      <c r="M31" s="73"/>
      <c r="N31" s="74"/>
      <c r="O31" s="74"/>
      <c r="P31" s="74"/>
      <c r="Q31" s="74"/>
      <c r="R31" s="74"/>
      <c r="S31" s="74"/>
      <c r="U31" s="56"/>
    </row>
    <row r="32" customFormat="false" ht="14.45" hidden="false" customHeight="true" outlineLevel="0" collapsed="false">
      <c r="B32" s="56"/>
      <c r="D32" s="77" t="s">
        <v>15</v>
      </c>
      <c r="E32" s="30" t="s">
        <v>16</v>
      </c>
      <c r="F32" s="26" t="n">
        <v>2</v>
      </c>
      <c r="G32" s="78" t="s">
        <v>58</v>
      </c>
      <c r="H32" s="79" t="s">
        <v>65</v>
      </c>
      <c r="I32" s="80" t="s">
        <v>66</v>
      </c>
      <c r="J32" s="80"/>
      <c r="K32" s="81" t="s">
        <v>67</v>
      </c>
      <c r="L32" s="82" t="s">
        <v>62</v>
      </c>
      <c r="M32" s="83" t="s">
        <v>62</v>
      </c>
      <c r="N32" s="84" t="s">
        <v>62</v>
      </c>
      <c r="O32" s="84"/>
      <c r="P32" s="84"/>
      <c r="Q32" s="84"/>
      <c r="R32" s="84"/>
      <c r="S32" s="84"/>
      <c r="U32" s="56"/>
    </row>
    <row r="33" customFormat="false" ht="14.45" hidden="false" customHeight="true" outlineLevel="0" collapsed="false">
      <c r="B33" s="56"/>
      <c r="D33" s="77"/>
      <c r="E33" s="30"/>
      <c r="F33" s="26"/>
      <c r="G33" s="78"/>
      <c r="H33" s="79"/>
      <c r="I33" s="85" t="s">
        <v>68</v>
      </c>
      <c r="J33" s="85"/>
      <c r="K33" s="81"/>
      <c r="L33" s="82"/>
      <c r="M33" s="83"/>
      <c r="N33" s="84"/>
      <c r="O33" s="84"/>
      <c r="P33" s="84"/>
      <c r="Q33" s="84"/>
      <c r="R33" s="84"/>
      <c r="S33" s="84"/>
      <c r="U33" s="56"/>
    </row>
    <row r="34" customFormat="false" ht="14.45" hidden="false" customHeight="true" outlineLevel="0" collapsed="false">
      <c r="B34" s="56"/>
      <c r="D34" s="77"/>
      <c r="E34" s="30"/>
      <c r="F34" s="26"/>
      <c r="G34" s="78"/>
      <c r="H34" s="79"/>
      <c r="I34" s="86" t="s">
        <v>69</v>
      </c>
      <c r="J34" s="86"/>
      <c r="K34" s="81"/>
      <c r="L34" s="82"/>
      <c r="M34" s="83"/>
      <c r="N34" s="84"/>
      <c r="O34" s="84"/>
      <c r="P34" s="84"/>
      <c r="Q34" s="84"/>
      <c r="R34" s="84"/>
      <c r="S34" s="84"/>
      <c r="U34" s="56"/>
    </row>
    <row r="35" customFormat="false" ht="15" hidden="false" customHeight="true" outlineLevel="0" collapsed="false">
      <c r="B35" s="56"/>
      <c r="D35" s="87" t="s">
        <v>17</v>
      </c>
      <c r="E35" s="88" t="s">
        <v>18</v>
      </c>
      <c r="F35" s="28" t="n">
        <v>3</v>
      </c>
      <c r="G35" s="89" t="s">
        <v>58</v>
      </c>
      <c r="H35" s="90" t="s">
        <v>67</v>
      </c>
      <c r="I35" s="91" t="s">
        <v>70</v>
      </c>
      <c r="J35" s="91"/>
      <c r="K35" s="92" t="s">
        <v>61</v>
      </c>
      <c r="L35" s="93" t="s">
        <v>58</v>
      </c>
      <c r="M35" s="94" t="s">
        <v>71</v>
      </c>
      <c r="N35" s="95" t="s">
        <v>72</v>
      </c>
      <c r="O35" s="95"/>
      <c r="P35" s="95"/>
      <c r="Q35" s="95"/>
      <c r="R35" s="95"/>
      <c r="S35" s="95"/>
      <c r="U35" s="56"/>
    </row>
    <row r="36" customFormat="false" ht="15" hidden="false" customHeight="true" outlineLevel="0" collapsed="false">
      <c r="B36" s="56"/>
      <c r="D36" s="87"/>
      <c r="E36" s="88"/>
      <c r="F36" s="28"/>
      <c r="G36" s="89"/>
      <c r="H36" s="90"/>
      <c r="I36" s="96" t="s">
        <v>73</v>
      </c>
      <c r="J36" s="96"/>
      <c r="K36" s="92"/>
      <c r="L36" s="93"/>
      <c r="M36" s="94"/>
      <c r="N36" s="95"/>
      <c r="O36" s="95"/>
      <c r="P36" s="95"/>
      <c r="Q36" s="95"/>
      <c r="R36" s="95"/>
      <c r="S36" s="95"/>
      <c r="U36" s="56"/>
    </row>
    <row r="37" customFormat="false" ht="15" hidden="false" customHeight="true" outlineLevel="0" collapsed="false">
      <c r="B37" s="56"/>
      <c r="D37" s="97" t="s">
        <v>20</v>
      </c>
      <c r="E37" s="39" t="s">
        <v>21</v>
      </c>
      <c r="F37" s="98" t="n">
        <v>4</v>
      </c>
      <c r="G37" s="99" t="s">
        <v>58</v>
      </c>
      <c r="H37" s="100" t="s">
        <v>61</v>
      </c>
      <c r="I37" s="101" t="s">
        <v>74</v>
      </c>
      <c r="J37" s="101"/>
      <c r="K37" s="102" t="s">
        <v>67</v>
      </c>
      <c r="L37" s="99" t="s">
        <v>58</v>
      </c>
      <c r="M37" s="100" t="s">
        <v>75</v>
      </c>
      <c r="N37" s="101" t="s">
        <v>76</v>
      </c>
      <c r="O37" s="101"/>
      <c r="P37" s="101"/>
      <c r="Q37" s="101"/>
      <c r="R37" s="101"/>
      <c r="S37" s="101"/>
      <c r="U37" s="56"/>
    </row>
    <row r="38" customFormat="false" ht="27.95" hidden="false" customHeight="true" outlineLevel="0" collapsed="false">
      <c r="B38" s="56"/>
      <c r="D38" s="97"/>
      <c r="E38" s="39"/>
      <c r="F38" s="98"/>
      <c r="G38" s="99"/>
      <c r="H38" s="100"/>
      <c r="I38" s="103" t="s">
        <v>77</v>
      </c>
      <c r="J38" s="103"/>
      <c r="K38" s="102"/>
      <c r="L38" s="99"/>
      <c r="M38" s="100"/>
      <c r="N38" s="103" t="s">
        <v>78</v>
      </c>
      <c r="O38" s="103"/>
      <c r="P38" s="103"/>
      <c r="Q38" s="103"/>
      <c r="R38" s="103"/>
      <c r="S38" s="103"/>
      <c r="U38" s="56"/>
    </row>
    <row r="39" customFormat="false" ht="15.75" hidden="false" customHeight="true" outlineLevel="0" collapsed="false">
      <c r="B39" s="56"/>
      <c r="D39" s="97"/>
      <c r="E39" s="39"/>
      <c r="F39" s="98"/>
      <c r="G39" s="99"/>
      <c r="H39" s="100"/>
      <c r="I39" s="104"/>
      <c r="J39" s="104"/>
      <c r="K39" s="102"/>
      <c r="L39" s="99"/>
      <c r="M39" s="100"/>
      <c r="N39" s="105" t="s">
        <v>79</v>
      </c>
      <c r="O39" s="105"/>
      <c r="P39" s="105"/>
      <c r="Q39" s="105"/>
      <c r="R39" s="105"/>
      <c r="S39" s="105"/>
      <c r="U39" s="56"/>
    </row>
    <row r="40" customFormat="false" ht="20.1" hidden="false" customHeight="true" outlineLevel="0" collapsed="false">
      <c r="B40" s="56"/>
      <c r="U40" s="56"/>
    </row>
    <row r="41" customFormat="false" ht="20.1" hidden="false" customHeight="true" outlineLevel="0" collapsed="false">
      <c r="B41" s="56"/>
      <c r="C41" s="106"/>
      <c r="D41" s="106"/>
      <c r="E41" s="107" t="str">
        <f aca="false">IF(OR(M29="-",M29= ""),H29,M29)</f>
        <v>Die Burgen von 
Burgund</v>
      </c>
      <c r="F41" s="107"/>
      <c r="G41" s="107"/>
      <c r="H41" s="107"/>
      <c r="I41" s="107"/>
      <c r="J41" s="107"/>
      <c r="K41" s="107"/>
      <c r="L41" s="107"/>
      <c r="M41" s="107"/>
      <c r="N41" s="107"/>
      <c r="O41" s="108"/>
      <c r="P41" s="108"/>
      <c r="Q41" s="108"/>
      <c r="R41" s="108"/>
      <c r="S41" s="108"/>
      <c r="T41" s="106"/>
      <c r="U41" s="56"/>
    </row>
    <row r="42" customFormat="false" ht="50.1" hidden="false" customHeight="true" outlineLevel="0" collapsed="false">
      <c r="B42" s="56"/>
      <c r="C42" s="106"/>
      <c r="D42" s="108"/>
      <c r="E42" s="59" t="s">
        <v>48</v>
      </c>
      <c r="F42" s="109" t="s">
        <v>80</v>
      </c>
      <c r="G42" s="61" t="s">
        <v>81</v>
      </c>
      <c r="H42" s="60" t="s">
        <v>82</v>
      </c>
      <c r="I42" s="6" t="s">
        <v>83</v>
      </c>
      <c r="J42" s="60" t="s">
        <v>84</v>
      </c>
      <c r="K42" s="110" t="s">
        <v>85</v>
      </c>
      <c r="L42" s="60" t="s">
        <v>86</v>
      </c>
      <c r="M42" s="111" t="s">
        <v>87</v>
      </c>
      <c r="N42" s="61" t="s">
        <v>88</v>
      </c>
      <c r="O42" s="112" t="s">
        <v>89</v>
      </c>
      <c r="P42" s="113" t="s">
        <v>90</v>
      </c>
      <c r="Q42" s="113" t="s">
        <v>91</v>
      </c>
      <c r="R42" s="113" t="s">
        <v>92</v>
      </c>
      <c r="S42" s="108"/>
      <c r="T42" s="106"/>
      <c r="U42" s="56"/>
    </row>
    <row r="43" customFormat="false" ht="20.1" hidden="false" customHeight="true" outlineLevel="0" collapsed="false">
      <c r="B43" s="56"/>
      <c r="C43" s="106"/>
      <c r="D43" s="106"/>
      <c r="E43" s="67" t="s">
        <v>11</v>
      </c>
      <c r="F43" s="14" t="s">
        <v>12</v>
      </c>
      <c r="G43" s="114" t="n">
        <v>4</v>
      </c>
      <c r="H43" s="114" t="s">
        <v>93</v>
      </c>
      <c r="I43" s="114" t="n">
        <v>0</v>
      </c>
      <c r="J43" s="114" t="n">
        <v>197</v>
      </c>
      <c r="K43" s="114" t="s">
        <v>62</v>
      </c>
      <c r="L43" s="115" t="n">
        <f aca="false">IF(J43="",0,(J43/J47)*100)</f>
        <v>79.7570850202429</v>
      </c>
      <c r="M43" s="114" t="n">
        <v>4</v>
      </c>
      <c r="N43" s="20" t="n">
        <v>0</v>
      </c>
      <c r="O43" s="116" t="n">
        <f aca="false">IF(M43=1,1,0)</f>
        <v>0</v>
      </c>
      <c r="P43" s="117" t="n">
        <f aca="false">IF(M43=2,1,0)</f>
        <v>0</v>
      </c>
      <c r="Q43" s="117" t="n">
        <f aca="false">IF(M43=3,1,0)</f>
        <v>0</v>
      </c>
      <c r="R43" s="118" t="n">
        <f aca="false">IF(M43=4,1,0)</f>
        <v>1</v>
      </c>
      <c r="S43" s="119"/>
      <c r="T43" s="106"/>
      <c r="U43" s="56"/>
    </row>
    <row r="44" customFormat="false" ht="20.1" hidden="false" customHeight="true" outlineLevel="0" collapsed="false">
      <c r="B44" s="56"/>
      <c r="C44" s="106"/>
      <c r="D44" s="106"/>
      <c r="E44" s="120" t="s">
        <v>15</v>
      </c>
      <c r="F44" s="23" t="s">
        <v>16</v>
      </c>
      <c r="G44" s="121" t="n">
        <v>2</v>
      </c>
      <c r="H44" s="121" t="s">
        <v>93</v>
      </c>
      <c r="I44" s="121" t="n">
        <v>0</v>
      </c>
      <c r="J44" s="121" t="n">
        <v>235</v>
      </c>
      <c r="K44" s="121" t="s">
        <v>62</v>
      </c>
      <c r="L44" s="122" t="n">
        <f aca="false">IF(J44="",0,(J44/J47)*100)</f>
        <v>95.1417004048583</v>
      </c>
      <c r="M44" s="121" t="n">
        <v>2</v>
      </c>
      <c r="N44" s="26" t="n">
        <v>3</v>
      </c>
      <c r="O44" s="123" t="n">
        <f aca="false">IF(M44=1,1,0)</f>
        <v>0</v>
      </c>
      <c r="P44" s="124" t="n">
        <f aca="false">IF(M44=2,1,0)</f>
        <v>1</v>
      </c>
      <c r="Q44" s="124" t="n">
        <f aca="false">IF(M44=3,1,0)</f>
        <v>0</v>
      </c>
      <c r="R44" s="125" t="n">
        <f aca="false">IF(M44=4,1,0)</f>
        <v>0</v>
      </c>
      <c r="S44" s="119"/>
      <c r="T44" s="106"/>
      <c r="U44" s="56"/>
    </row>
    <row r="45" customFormat="false" ht="20.1" hidden="false" customHeight="true" outlineLevel="0" collapsed="false">
      <c r="B45" s="56"/>
      <c r="C45" s="106"/>
      <c r="D45" s="106"/>
      <c r="E45" s="126" t="s">
        <v>17</v>
      </c>
      <c r="F45" s="127" t="s">
        <v>18</v>
      </c>
      <c r="G45" s="128" t="n">
        <v>3</v>
      </c>
      <c r="H45" s="128" t="s">
        <v>93</v>
      </c>
      <c r="I45" s="128" t="n">
        <v>0</v>
      </c>
      <c r="J45" s="128" t="n">
        <v>247</v>
      </c>
      <c r="K45" s="128" t="s">
        <v>62</v>
      </c>
      <c r="L45" s="129" t="n">
        <f aca="false">IF(J45="",0,(J45/J47)*100)</f>
        <v>100</v>
      </c>
      <c r="M45" s="128" t="n">
        <v>1</v>
      </c>
      <c r="N45" s="130" t="n">
        <v>6</v>
      </c>
      <c r="O45" s="123" t="n">
        <f aca="false">IF(M45=1,1,0)</f>
        <v>1</v>
      </c>
      <c r="P45" s="124" t="n">
        <f aca="false">IF(M45=2,1,0)</f>
        <v>0</v>
      </c>
      <c r="Q45" s="124" t="n">
        <f aca="false">IF(M45=3,1,0)</f>
        <v>0</v>
      </c>
      <c r="R45" s="125" t="n">
        <f aca="false">IF(M45=4,1,0)</f>
        <v>0</v>
      </c>
      <c r="S45" s="119"/>
      <c r="T45" s="106"/>
      <c r="U45" s="56"/>
    </row>
    <row r="46" customFormat="false" ht="20.1" hidden="false" customHeight="true" outlineLevel="0" collapsed="false">
      <c r="B46" s="56"/>
      <c r="C46" s="106"/>
      <c r="D46" s="131"/>
      <c r="E46" s="97" t="s">
        <v>20</v>
      </c>
      <c r="F46" s="132" t="s">
        <v>21</v>
      </c>
      <c r="G46" s="133" t="n">
        <v>1</v>
      </c>
      <c r="H46" s="133" t="s">
        <v>93</v>
      </c>
      <c r="I46" s="133" t="n">
        <v>0</v>
      </c>
      <c r="J46" s="133" t="n">
        <v>217</v>
      </c>
      <c r="K46" s="133" t="s">
        <v>62</v>
      </c>
      <c r="L46" s="134" t="n">
        <f aca="false">IF(J46="",0,(J46/J47)*100)</f>
        <v>87.8542510121457</v>
      </c>
      <c r="M46" s="133" t="n">
        <v>3</v>
      </c>
      <c r="N46" s="44" t="n">
        <v>1</v>
      </c>
      <c r="O46" s="135" t="n">
        <f aca="false">IF(M46=1,1,0)</f>
        <v>0</v>
      </c>
      <c r="P46" s="136" t="n">
        <f aca="false">IF(M46=2,1,0)</f>
        <v>0</v>
      </c>
      <c r="Q46" s="136" t="n">
        <f aca="false">IF(M46=3,1,0)</f>
        <v>1</v>
      </c>
      <c r="R46" s="137" t="n">
        <f aca="false">IF(M46=4,1,0)</f>
        <v>0</v>
      </c>
      <c r="S46" s="119"/>
      <c r="T46" s="106"/>
      <c r="U46" s="56"/>
    </row>
    <row r="47" customFormat="false" ht="20.1" hidden="true" customHeight="true" outlineLevel="1" collapsed="false">
      <c r="B47" s="56"/>
      <c r="C47" s="106"/>
      <c r="D47" s="138"/>
      <c r="E47" s="138"/>
      <c r="F47" s="139"/>
      <c r="G47" s="139"/>
      <c r="H47" s="106"/>
      <c r="I47" s="140" t="s">
        <v>94</v>
      </c>
      <c r="J47" s="141" t="n">
        <f aca="false">MAX(J43:J46)</f>
        <v>247</v>
      </c>
      <c r="K47" s="142"/>
      <c r="L47" s="143"/>
      <c r="M47" s="106"/>
      <c r="N47" s="144" t="s">
        <v>95</v>
      </c>
      <c r="O47" s="145" t="n">
        <f aca="false">SUM(O43:O46)</f>
        <v>1</v>
      </c>
      <c r="P47" s="146" t="n">
        <f aca="false">SUM(P43:P46)</f>
        <v>1</v>
      </c>
      <c r="Q47" s="145" t="n">
        <f aca="false">SUM(Q43:Q46)</f>
        <v>1</v>
      </c>
      <c r="R47" s="145" t="n">
        <f aca="false">SUM(R43:R46)</f>
        <v>1</v>
      </c>
      <c r="S47" s="147"/>
      <c r="T47" s="106"/>
      <c r="U47" s="56"/>
    </row>
    <row r="48" customFormat="false" ht="20.1" hidden="false" customHeight="true" outlineLevel="0" collapsed="false">
      <c r="B48" s="56"/>
      <c r="C48" s="106"/>
      <c r="D48" s="106"/>
      <c r="E48" s="106"/>
      <c r="F48" s="148"/>
      <c r="G48" s="148"/>
      <c r="H48" s="108"/>
      <c r="I48" s="106"/>
      <c r="J48" s="106"/>
      <c r="K48" s="106"/>
      <c r="L48" s="106"/>
      <c r="M48" s="106"/>
      <c r="N48" s="106"/>
      <c r="O48" s="106"/>
      <c r="P48" s="106"/>
      <c r="Q48" s="106"/>
      <c r="R48" s="106"/>
      <c r="S48" s="106"/>
      <c r="T48" s="106"/>
      <c r="U48" s="56"/>
    </row>
    <row r="49" customFormat="false" ht="20.1" hidden="false" customHeight="true" outlineLevel="0" collapsed="false">
      <c r="B49" s="56"/>
      <c r="U49" s="56"/>
    </row>
    <row r="50" customFormat="false" ht="20.1" hidden="false" customHeight="true" outlineLevel="0" collapsed="false">
      <c r="B50" s="56"/>
      <c r="C50" s="149"/>
      <c r="D50" s="149"/>
      <c r="E50" s="150" t="str">
        <f aca="false">IF(OR(M32="-",M32= ""),H32,M32)</f>
        <v>Marco Polo II: Im Auftrag des Khan</v>
      </c>
      <c r="F50" s="150"/>
      <c r="G50" s="150"/>
      <c r="H50" s="150"/>
      <c r="I50" s="150"/>
      <c r="J50" s="150"/>
      <c r="K50" s="150"/>
      <c r="L50" s="150"/>
      <c r="M50" s="150"/>
      <c r="N50" s="150"/>
      <c r="O50" s="151"/>
      <c r="P50" s="151"/>
      <c r="Q50" s="151"/>
      <c r="R50" s="151"/>
      <c r="S50" s="151"/>
      <c r="T50" s="149"/>
      <c r="U50" s="56"/>
    </row>
    <row r="51" customFormat="false" ht="50.1" hidden="false" customHeight="true" outlineLevel="0" collapsed="false">
      <c r="B51" s="56"/>
      <c r="C51" s="149"/>
      <c r="D51" s="151"/>
      <c r="E51" s="59" t="s">
        <v>48</v>
      </c>
      <c r="F51" s="109" t="s">
        <v>80</v>
      </c>
      <c r="G51" s="61" t="s">
        <v>81</v>
      </c>
      <c r="H51" s="60" t="s">
        <v>82</v>
      </c>
      <c r="I51" s="6" t="s">
        <v>83</v>
      </c>
      <c r="J51" s="60" t="s">
        <v>84</v>
      </c>
      <c r="K51" s="110" t="s">
        <v>85</v>
      </c>
      <c r="L51" s="60" t="s">
        <v>86</v>
      </c>
      <c r="M51" s="111" t="s">
        <v>87</v>
      </c>
      <c r="N51" s="61" t="s">
        <v>88</v>
      </c>
      <c r="O51" s="112" t="s">
        <v>89</v>
      </c>
      <c r="P51" s="113" t="s">
        <v>90</v>
      </c>
      <c r="Q51" s="113" t="s">
        <v>91</v>
      </c>
      <c r="R51" s="113" t="s">
        <v>92</v>
      </c>
      <c r="S51" s="151"/>
      <c r="T51" s="149"/>
      <c r="U51" s="56"/>
    </row>
    <row r="52" customFormat="false" ht="20.1" hidden="false" customHeight="true" outlineLevel="0" collapsed="false">
      <c r="B52" s="56"/>
      <c r="C52" s="149"/>
      <c r="D52" s="149"/>
      <c r="E52" s="67" t="s">
        <v>11</v>
      </c>
      <c r="F52" s="14" t="s">
        <v>12</v>
      </c>
      <c r="G52" s="114" t="n">
        <v>1</v>
      </c>
      <c r="H52" s="114" t="s">
        <v>96</v>
      </c>
      <c r="I52" s="114" t="n">
        <v>0</v>
      </c>
      <c r="J52" s="114" t="n">
        <v>86</v>
      </c>
      <c r="K52" s="114" t="s">
        <v>62</v>
      </c>
      <c r="L52" s="115" t="n">
        <f aca="false">IF(J52="",0,(J52/J56)*100)</f>
        <v>54.4303797468354</v>
      </c>
      <c r="M52" s="114" t="n">
        <v>4</v>
      </c>
      <c r="N52" s="20" t="n">
        <v>0</v>
      </c>
      <c r="O52" s="116" t="n">
        <f aca="false">IF(M52=1,1,0)</f>
        <v>0</v>
      </c>
      <c r="P52" s="117" t="n">
        <f aca="false">IF(M52=2,1,0)</f>
        <v>0</v>
      </c>
      <c r="Q52" s="117" t="n">
        <f aca="false">IF(M52=3,1,0)</f>
        <v>0</v>
      </c>
      <c r="R52" s="118" t="n">
        <f aca="false">IF(M52=4,1,0)</f>
        <v>1</v>
      </c>
      <c r="S52" s="152"/>
      <c r="T52" s="149"/>
      <c r="U52" s="56"/>
    </row>
    <row r="53" customFormat="false" ht="20.1" hidden="false" customHeight="true" outlineLevel="0" collapsed="false">
      <c r="B53" s="56"/>
      <c r="C53" s="149"/>
      <c r="D53" s="153"/>
      <c r="E53" s="126" t="s">
        <v>15</v>
      </c>
      <c r="F53" s="127" t="s">
        <v>16</v>
      </c>
      <c r="G53" s="128" t="n">
        <v>4</v>
      </c>
      <c r="H53" s="128" t="s">
        <v>97</v>
      </c>
      <c r="I53" s="128" t="n">
        <v>0</v>
      </c>
      <c r="J53" s="128" t="n">
        <v>158</v>
      </c>
      <c r="K53" s="128" t="s">
        <v>62</v>
      </c>
      <c r="L53" s="129" t="n">
        <f aca="false">IF(J53="",0,(J53/J56)*100)</f>
        <v>100</v>
      </c>
      <c r="M53" s="128" t="n">
        <v>1</v>
      </c>
      <c r="N53" s="130" t="n">
        <v>6</v>
      </c>
      <c r="O53" s="123" t="n">
        <f aca="false">IF(M53=1,1,0)</f>
        <v>1</v>
      </c>
      <c r="P53" s="124" t="n">
        <f aca="false">IF(M53=2,1,0)</f>
        <v>0</v>
      </c>
      <c r="Q53" s="124" t="n">
        <f aca="false">IF(M53=3,1,0)</f>
        <v>0</v>
      </c>
      <c r="R53" s="125" t="n">
        <f aca="false">IF(M53=4,1,0)</f>
        <v>0</v>
      </c>
      <c r="S53" s="152"/>
      <c r="T53" s="149"/>
      <c r="U53" s="56"/>
    </row>
    <row r="54" customFormat="false" ht="20.1" hidden="false" customHeight="true" outlineLevel="0" collapsed="false">
      <c r="B54" s="56"/>
      <c r="C54" s="149"/>
      <c r="D54" s="149"/>
      <c r="E54" s="120" t="s">
        <v>17</v>
      </c>
      <c r="F54" s="23" t="s">
        <v>18</v>
      </c>
      <c r="G54" s="121" t="n">
        <v>3</v>
      </c>
      <c r="H54" s="121" t="s">
        <v>98</v>
      </c>
      <c r="I54" s="121" t="n">
        <v>0</v>
      </c>
      <c r="J54" s="121" t="n">
        <v>147</v>
      </c>
      <c r="K54" s="121" t="s">
        <v>62</v>
      </c>
      <c r="L54" s="122" t="n">
        <f aca="false">IF(J54="",0,(J54/J56)*100)</f>
        <v>93.0379746835443</v>
      </c>
      <c r="M54" s="121" t="n">
        <v>2</v>
      </c>
      <c r="N54" s="26" t="n">
        <v>3</v>
      </c>
      <c r="O54" s="123" t="n">
        <f aca="false">IF(M54=1,1,0)</f>
        <v>0</v>
      </c>
      <c r="P54" s="124" t="n">
        <f aca="false">IF(M54=2,1,0)</f>
        <v>1</v>
      </c>
      <c r="Q54" s="124" t="n">
        <f aca="false">IF(M54=3,1,0)</f>
        <v>0</v>
      </c>
      <c r="R54" s="125" t="n">
        <f aca="false">IF(M54=4,1,0)</f>
        <v>0</v>
      </c>
      <c r="S54" s="152"/>
      <c r="T54" s="149"/>
      <c r="U54" s="56"/>
    </row>
    <row r="55" customFormat="false" ht="27.95" hidden="false" customHeight="true" outlineLevel="0" collapsed="false">
      <c r="B55" s="56"/>
      <c r="C55" s="149"/>
      <c r="D55" s="149"/>
      <c r="E55" s="97" t="s">
        <v>20</v>
      </c>
      <c r="F55" s="132" t="s">
        <v>21</v>
      </c>
      <c r="G55" s="133" t="n">
        <v>2</v>
      </c>
      <c r="H55" s="154" t="s">
        <v>99</v>
      </c>
      <c r="I55" s="133" t="n">
        <v>0</v>
      </c>
      <c r="J55" s="133" t="n">
        <v>113</v>
      </c>
      <c r="K55" s="133" t="s">
        <v>62</v>
      </c>
      <c r="L55" s="134" t="n">
        <f aca="false">IF(J55="",0,(J55/J56)*100)</f>
        <v>71.5189873417722</v>
      </c>
      <c r="M55" s="133" t="n">
        <v>3</v>
      </c>
      <c r="N55" s="44" t="n">
        <v>1</v>
      </c>
      <c r="O55" s="135" t="n">
        <f aca="false">IF(M55=1,1,0)</f>
        <v>0</v>
      </c>
      <c r="P55" s="136" t="n">
        <f aca="false">IF(M55=2,1,0)</f>
        <v>0</v>
      </c>
      <c r="Q55" s="136" t="n">
        <f aca="false">IF(M55=3,1,0)</f>
        <v>1</v>
      </c>
      <c r="R55" s="137" t="n">
        <f aca="false">IF(M55=4,1,0)</f>
        <v>0</v>
      </c>
      <c r="S55" s="152"/>
      <c r="T55" s="149"/>
      <c r="U55" s="56"/>
    </row>
    <row r="56" customFormat="false" ht="20.1" hidden="true" customHeight="true" outlineLevel="1" collapsed="false">
      <c r="B56" s="56"/>
      <c r="C56" s="149"/>
      <c r="D56" s="149"/>
      <c r="E56" s="149"/>
      <c r="F56" s="155"/>
      <c r="G56" s="155"/>
      <c r="H56" s="149"/>
      <c r="I56" s="156" t="s">
        <v>94</v>
      </c>
      <c r="J56" s="141" t="n">
        <f aca="false">MAX(J52:J55)</f>
        <v>158</v>
      </c>
      <c r="K56" s="157"/>
      <c r="L56" s="152"/>
      <c r="M56" s="149"/>
      <c r="N56" s="144" t="s">
        <v>95</v>
      </c>
      <c r="O56" s="145" t="n">
        <f aca="false">SUM(O52:O55)</f>
        <v>1</v>
      </c>
      <c r="P56" s="146" t="n">
        <f aca="false">SUM(P52:P55)</f>
        <v>1</v>
      </c>
      <c r="Q56" s="145" t="n">
        <f aca="false">SUM(Q52:Q55)</f>
        <v>1</v>
      </c>
      <c r="R56" s="158" t="n">
        <f aca="false">SUM(R52:R55)</f>
        <v>1</v>
      </c>
      <c r="S56" s="159"/>
      <c r="T56" s="149"/>
      <c r="U56" s="56"/>
    </row>
    <row r="57" customFormat="false" ht="20.1" hidden="false" customHeight="true" outlineLevel="0" collapsed="false">
      <c r="B57" s="56"/>
      <c r="C57" s="149"/>
      <c r="D57" s="149"/>
      <c r="E57" s="149"/>
      <c r="F57" s="149"/>
      <c r="G57" s="149"/>
      <c r="H57" s="149"/>
      <c r="I57" s="149"/>
      <c r="J57" s="149"/>
      <c r="K57" s="149"/>
      <c r="L57" s="149"/>
      <c r="M57" s="149"/>
      <c r="N57" s="149"/>
      <c r="O57" s="149"/>
      <c r="P57" s="149"/>
      <c r="Q57" s="149"/>
      <c r="R57" s="149"/>
      <c r="S57" s="149"/>
      <c r="T57" s="149"/>
      <c r="U57" s="56"/>
    </row>
    <row r="58" customFormat="false" ht="20.1" hidden="false" customHeight="true" outlineLevel="0" collapsed="false">
      <c r="B58" s="56"/>
      <c r="D58" s="45"/>
      <c r="E58" s="45"/>
      <c r="F58" s="45"/>
      <c r="G58" s="45"/>
      <c r="H58" s="160"/>
      <c r="I58" s="45"/>
      <c r="J58" s="45"/>
      <c r="U58" s="56"/>
    </row>
    <row r="59" customFormat="false" ht="20.1" hidden="false" customHeight="true" outlineLevel="0" collapsed="false">
      <c r="B59" s="56"/>
      <c r="C59" s="161"/>
      <c r="D59" s="161"/>
      <c r="E59" s="162" t="str">
        <f aca="false">IF(OR(M35="-",M35= ""),H35,M35)</f>
        <v>Die verlorenen Ruinen 
von Arnak</v>
      </c>
      <c r="F59" s="162"/>
      <c r="G59" s="162"/>
      <c r="H59" s="162"/>
      <c r="I59" s="162"/>
      <c r="J59" s="162"/>
      <c r="K59" s="162"/>
      <c r="L59" s="162"/>
      <c r="M59" s="162"/>
      <c r="N59" s="162"/>
      <c r="O59" s="163"/>
      <c r="P59" s="163"/>
      <c r="Q59" s="163"/>
      <c r="R59" s="163"/>
      <c r="S59" s="163"/>
      <c r="T59" s="161"/>
      <c r="U59" s="164"/>
      <c r="V59" s="165"/>
      <c r="W59" s="165"/>
    </row>
    <row r="60" customFormat="false" ht="50.1" hidden="false" customHeight="true" outlineLevel="0" collapsed="false">
      <c r="B60" s="56"/>
      <c r="C60" s="161"/>
      <c r="D60" s="163"/>
      <c r="E60" s="59" t="s">
        <v>48</v>
      </c>
      <c r="F60" s="109" t="s">
        <v>80</v>
      </c>
      <c r="G60" s="61" t="s">
        <v>81</v>
      </c>
      <c r="H60" s="60" t="s">
        <v>82</v>
      </c>
      <c r="I60" s="6" t="s">
        <v>83</v>
      </c>
      <c r="J60" s="60" t="s">
        <v>84</v>
      </c>
      <c r="K60" s="110" t="s">
        <v>85</v>
      </c>
      <c r="L60" s="60" t="s">
        <v>86</v>
      </c>
      <c r="M60" s="111" t="s">
        <v>87</v>
      </c>
      <c r="N60" s="61" t="s">
        <v>88</v>
      </c>
      <c r="O60" s="112" t="s">
        <v>89</v>
      </c>
      <c r="P60" s="113" t="s">
        <v>90</v>
      </c>
      <c r="Q60" s="113" t="s">
        <v>91</v>
      </c>
      <c r="R60" s="12" t="s">
        <v>92</v>
      </c>
      <c r="S60" s="163"/>
      <c r="T60" s="161"/>
      <c r="U60" s="164"/>
      <c r="V60" s="165"/>
      <c r="W60" s="165"/>
    </row>
    <row r="61" customFormat="false" ht="20.1" hidden="false" customHeight="true" outlineLevel="0" collapsed="false">
      <c r="B61" s="56"/>
      <c r="C61" s="161"/>
      <c r="D61" s="161"/>
      <c r="E61" s="67" t="s">
        <v>11</v>
      </c>
      <c r="F61" s="14" t="s">
        <v>12</v>
      </c>
      <c r="G61" s="114" t="n">
        <v>2</v>
      </c>
      <c r="H61" s="114" t="s">
        <v>62</v>
      </c>
      <c r="I61" s="114" t="n">
        <v>0</v>
      </c>
      <c r="J61" s="114" t="n">
        <v>64</v>
      </c>
      <c r="K61" s="114" t="s">
        <v>62</v>
      </c>
      <c r="L61" s="115" t="n">
        <f aca="false">IF(J61="",0,(J61/J65)*100)</f>
        <v>81.0126582278481</v>
      </c>
      <c r="M61" s="114" t="n">
        <v>3</v>
      </c>
      <c r="N61" s="20" t="n">
        <v>1</v>
      </c>
      <c r="O61" s="116" t="n">
        <f aca="false">IF(M61=1,1,0)</f>
        <v>0</v>
      </c>
      <c r="P61" s="117" t="n">
        <f aca="false">IF(M61=2,1,0)</f>
        <v>0</v>
      </c>
      <c r="Q61" s="117" t="n">
        <f aca="false">IF(M61=3,1,0)</f>
        <v>1</v>
      </c>
      <c r="R61" s="118" t="n">
        <f aca="false">IF(M61=4,1,0)</f>
        <v>0</v>
      </c>
      <c r="S61" s="166"/>
      <c r="T61" s="161"/>
      <c r="U61" s="56"/>
    </row>
    <row r="62" customFormat="false" ht="20.1" hidden="false" customHeight="true" outlineLevel="0" collapsed="false">
      <c r="B62" s="56"/>
      <c r="C62" s="161"/>
      <c r="D62" s="167"/>
      <c r="E62" s="120" t="s">
        <v>15</v>
      </c>
      <c r="F62" s="23" t="s">
        <v>16</v>
      </c>
      <c r="G62" s="121" t="n">
        <v>3</v>
      </c>
      <c r="H62" s="121" t="s">
        <v>62</v>
      </c>
      <c r="I62" s="121" t="n">
        <v>0</v>
      </c>
      <c r="J62" s="121" t="n">
        <v>76</v>
      </c>
      <c r="K62" s="121" t="s">
        <v>62</v>
      </c>
      <c r="L62" s="122" t="n">
        <f aca="false">IF(J62="",0,(J62/J65)*100)</f>
        <v>96.2025316455696</v>
      </c>
      <c r="M62" s="121" t="n">
        <v>2</v>
      </c>
      <c r="N62" s="26" t="n">
        <v>3</v>
      </c>
      <c r="O62" s="123" t="n">
        <f aca="false">IF(M62=1,1,0)</f>
        <v>0</v>
      </c>
      <c r="P62" s="124" t="n">
        <f aca="false">IF(M62=2,1,0)</f>
        <v>1</v>
      </c>
      <c r="Q62" s="124" t="n">
        <f aca="false">IF(M62=3,1,0)</f>
        <v>0</v>
      </c>
      <c r="R62" s="125" t="n">
        <f aca="false">IF(M62=4,1,0)</f>
        <v>0</v>
      </c>
      <c r="S62" s="166"/>
      <c r="T62" s="161"/>
      <c r="U62" s="168"/>
    </row>
    <row r="63" customFormat="false" ht="20.1" hidden="false" customHeight="true" outlineLevel="0" collapsed="false">
      <c r="B63" s="56"/>
      <c r="C63" s="161"/>
      <c r="D63" s="161"/>
      <c r="E63" s="126" t="s">
        <v>17</v>
      </c>
      <c r="F63" s="127" t="s">
        <v>18</v>
      </c>
      <c r="G63" s="128" t="n">
        <v>4</v>
      </c>
      <c r="H63" s="128" t="s">
        <v>62</v>
      </c>
      <c r="I63" s="128" t="n">
        <v>0</v>
      </c>
      <c r="J63" s="128" t="n">
        <v>79</v>
      </c>
      <c r="K63" s="128" t="s">
        <v>62</v>
      </c>
      <c r="L63" s="129" t="n">
        <f aca="false">IF(J63="",0,(J63/J65)*100)</f>
        <v>100</v>
      </c>
      <c r="M63" s="128" t="n">
        <v>1</v>
      </c>
      <c r="N63" s="130" t="n">
        <v>6</v>
      </c>
      <c r="O63" s="123" t="n">
        <f aca="false">IF(M63=1,1,0)</f>
        <v>1</v>
      </c>
      <c r="P63" s="124" t="n">
        <f aca="false">IF(M63=2,1,0)</f>
        <v>0</v>
      </c>
      <c r="Q63" s="124" t="n">
        <f aca="false">IF(M63=3,1,0)</f>
        <v>0</v>
      </c>
      <c r="R63" s="125" t="n">
        <f aca="false">IF(M63=4,1,0)</f>
        <v>0</v>
      </c>
      <c r="S63" s="166"/>
      <c r="T63" s="161"/>
      <c r="U63" s="168"/>
    </row>
    <row r="64" customFormat="false" ht="20.1" hidden="false" customHeight="true" outlineLevel="0" collapsed="false">
      <c r="B64" s="56"/>
      <c r="C64" s="161"/>
      <c r="D64" s="161"/>
      <c r="E64" s="97" t="s">
        <v>20</v>
      </c>
      <c r="F64" s="132" t="s">
        <v>21</v>
      </c>
      <c r="G64" s="133" t="n">
        <v>1</v>
      </c>
      <c r="H64" s="133" t="s">
        <v>62</v>
      </c>
      <c r="I64" s="133" t="n">
        <v>0</v>
      </c>
      <c r="J64" s="133" t="n">
        <v>51</v>
      </c>
      <c r="K64" s="133" t="s">
        <v>62</v>
      </c>
      <c r="L64" s="134" t="n">
        <f aca="false">IF(J64="",0,(J64/J65)*100)</f>
        <v>64.5569620253165</v>
      </c>
      <c r="M64" s="133" t="n">
        <v>4</v>
      </c>
      <c r="N64" s="44" t="n">
        <v>0</v>
      </c>
      <c r="O64" s="135" t="n">
        <f aca="false">IF(M64=1,1,0)</f>
        <v>0</v>
      </c>
      <c r="P64" s="136" t="n">
        <f aca="false">IF(M64=2,1,0)</f>
        <v>0</v>
      </c>
      <c r="Q64" s="136" t="n">
        <f aca="false">IF(M64=3,1,0)</f>
        <v>0</v>
      </c>
      <c r="R64" s="137" t="n">
        <f aca="false">IF(M64=4,1,0)</f>
        <v>1</v>
      </c>
      <c r="S64" s="166"/>
      <c r="T64" s="161"/>
      <c r="U64" s="168"/>
    </row>
    <row r="65" customFormat="false" ht="20.1" hidden="true" customHeight="true" outlineLevel="1" collapsed="false">
      <c r="B65" s="56"/>
      <c r="C65" s="161"/>
      <c r="D65" s="161"/>
      <c r="E65" s="161"/>
      <c r="F65" s="169"/>
      <c r="G65" s="169"/>
      <c r="H65" s="161"/>
      <c r="I65" s="170" t="s">
        <v>94</v>
      </c>
      <c r="J65" s="141" t="n">
        <f aca="false">MAX(J61:J64)</f>
        <v>79</v>
      </c>
      <c r="K65" s="171"/>
      <c r="L65" s="166"/>
      <c r="M65" s="161"/>
      <c r="N65" s="144"/>
      <c r="O65" s="145" t="n">
        <f aca="false">SUM(O61:O64)</f>
        <v>1</v>
      </c>
      <c r="P65" s="146" t="n">
        <f aca="false">SUM(P61:P64)</f>
        <v>1</v>
      </c>
      <c r="Q65" s="145" t="n">
        <f aca="false">SUM(Q61:Q64)</f>
        <v>1</v>
      </c>
      <c r="R65" s="158" t="n">
        <f aca="false">SUM(R61:R64)</f>
        <v>1</v>
      </c>
      <c r="S65" s="172"/>
      <c r="T65" s="161"/>
      <c r="U65" s="168"/>
    </row>
    <row r="66" customFormat="false" ht="20.1" hidden="false" customHeight="true" outlineLevel="0" collapsed="false">
      <c r="B66" s="56"/>
      <c r="C66" s="161"/>
      <c r="D66" s="161"/>
      <c r="E66" s="161"/>
      <c r="F66" s="161"/>
      <c r="G66" s="161"/>
      <c r="H66" s="161"/>
      <c r="I66" s="161"/>
      <c r="J66" s="161"/>
      <c r="K66" s="161"/>
      <c r="L66" s="161"/>
      <c r="M66" s="161"/>
      <c r="N66" s="161"/>
      <c r="O66" s="161"/>
      <c r="P66" s="161"/>
      <c r="Q66" s="161"/>
      <c r="R66" s="161"/>
      <c r="S66" s="161"/>
      <c r="T66" s="161"/>
      <c r="U66" s="168"/>
    </row>
    <row r="67" customFormat="false" ht="20.1" hidden="false" customHeight="true" outlineLevel="0" collapsed="false">
      <c r="B67" s="56"/>
      <c r="D67" s="45"/>
      <c r="E67" s="45"/>
      <c r="F67" s="45"/>
      <c r="G67" s="45"/>
      <c r="H67" s="160"/>
      <c r="I67" s="45"/>
      <c r="J67" s="45"/>
      <c r="K67" s="45"/>
      <c r="U67" s="56"/>
    </row>
    <row r="68" customFormat="false" ht="20.1" hidden="false" customHeight="true" outlineLevel="0" collapsed="false">
      <c r="B68" s="56"/>
      <c r="C68" s="173"/>
      <c r="D68" s="173"/>
      <c r="E68" s="174" t="str">
        <f aca="false">IF(OR(M37="-",M37= ""),H37,M37)</f>
        <v>Flügelschlag</v>
      </c>
      <c r="F68" s="174"/>
      <c r="G68" s="174"/>
      <c r="H68" s="174"/>
      <c r="I68" s="174"/>
      <c r="J68" s="174"/>
      <c r="K68" s="174"/>
      <c r="L68" s="174"/>
      <c r="M68" s="174"/>
      <c r="N68" s="174"/>
      <c r="O68" s="175"/>
      <c r="P68" s="175"/>
      <c r="Q68" s="175"/>
      <c r="R68" s="175"/>
      <c r="S68" s="175"/>
      <c r="T68" s="173"/>
      <c r="U68" s="56"/>
    </row>
    <row r="69" customFormat="false" ht="50.1" hidden="false" customHeight="true" outlineLevel="0" collapsed="false">
      <c r="B69" s="56"/>
      <c r="C69" s="173"/>
      <c r="D69" s="175"/>
      <c r="E69" s="59" t="s">
        <v>48</v>
      </c>
      <c r="F69" s="109" t="s">
        <v>80</v>
      </c>
      <c r="G69" s="61" t="s">
        <v>81</v>
      </c>
      <c r="H69" s="60" t="s">
        <v>82</v>
      </c>
      <c r="I69" s="6" t="s">
        <v>83</v>
      </c>
      <c r="J69" s="60" t="s">
        <v>84</v>
      </c>
      <c r="K69" s="110" t="s">
        <v>85</v>
      </c>
      <c r="L69" s="60" t="s">
        <v>86</v>
      </c>
      <c r="M69" s="111" t="s">
        <v>87</v>
      </c>
      <c r="N69" s="61" t="s">
        <v>88</v>
      </c>
      <c r="O69" s="112" t="s">
        <v>89</v>
      </c>
      <c r="P69" s="113" t="s">
        <v>90</v>
      </c>
      <c r="Q69" s="113" t="s">
        <v>91</v>
      </c>
      <c r="R69" s="12" t="s">
        <v>92</v>
      </c>
      <c r="S69" s="175"/>
      <c r="T69" s="173"/>
      <c r="U69" s="56"/>
    </row>
    <row r="70" customFormat="false" ht="20.1" hidden="false" customHeight="true" outlineLevel="0" collapsed="false">
      <c r="B70" s="56"/>
      <c r="C70" s="173"/>
      <c r="D70" s="173"/>
      <c r="E70" s="67" t="s">
        <v>11</v>
      </c>
      <c r="F70" s="14" t="s">
        <v>12</v>
      </c>
      <c r="G70" s="114" t="n">
        <v>1</v>
      </c>
      <c r="H70" s="114" t="s">
        <v>62</v>
      </c>
      <c r="I70" s="114" t="n">
        <v>0</v>
      </c>
      <c r="J70" s="114" t="n">
        <v>83</v>
      </c>
      <c r="K70" s="114" t="s">
        <v>62</v>
      </c>
      <c r="L70" s="115" t="n">
        <f aca="false">IF(J70="",0,(J70/J74)*100)</f>
        <v>93.2584269662921</v>
      </c>
      <c r="M70" s="114" t="n">
        <v>2</v>
      </c>
      <c r="N70" s="20" t="n">
        <v>3</v>
      </c>
      <c r="O70" s="116" t="n">
        <f aca="false">IF(M70=1,1,0)</f>
        <v>0</v>
      </c>
      <c r="P70" s="117" t="n">
        <f aca="false">IF(M70=2,1,0)</f>
        <v>1</v>
      </c>
      <c r="Q70" s="117" t="n">
        <f aca="false">IF(M70=3,1,0)</f>
        <v>0</v>
      </c>
      <c r="R70" s="118" t="n">
        <f aca="false">IF(M70=4,1,0)</f>
        <v>0</v>
      </c>
      <c r="S70" s="176"/>
      <c r="T70" s="173"/>
      <c r="U70" s="56"/>
    </row>
    <row r="71" customFormat="false" ht="20.1" hidden="false" customHeight="true" outlineLevel="0" collapsed="false">
      <c r="B71" s="56"/>
      <c r="C71" s="173"/>
      <c r="D71" s="173"/>
      <c r="E71" s="120" t="s">
        <v>15</v>
      </c>
      <c r="F71" s="23" t="s">
        <v>16</v>
      </c>
      <c r="G71" s="121" t="n">
        <v>2</v>
      </c>
      <c r="H71" s="121" t="s">
        <v>62</v>
      </c>
      <c r="I71" s="121" t="n">
        <v>0</v>
      </c>
      <c r="J71" s="121" t="n">
        <v>61</v>
      </c>
      <c r="K71" s="121" t="s">
        <v>62</v>
      </c>
      <c r="L71" s="122" t="n">
        <f aca="false">IF(J71="",0,(J71/J74)*100)</f>
        <v>68.5393258426966</v>
      </c>
      <c r="M71" s="121" t="n">
        <v>4</v>
      </c>
      <c r="N71" s="26" t="n">
        <v>0</v>
      </c>
      <c r="O71" s="123" t="n">
        <f aca="false">IF(M71=1,1,0)</f>
        <v>0</v>
      </c>
      <c r="P71" s="124" t="n">
        <f aca="false">IF(M71=2,1,0)</f>
        <v>0</v>
      </c>
      <c r="Q71" s="124" t="n">
        <f aca="false">IF(M71=3,1,0)</f>
        <v>0</v>
      </c>
      <c r="R71" s="125" t="n">
        <f aca="false">IF(M71=4,1,0)</f>
        <v>1</v>
      </c>
      <c r="S71" s="176"/>
      <c r="T71" s="173"/>
      <c r="U71" s="56"/>
    </row>
    <row r="72" customFormat="false" ht="20.1" hidden="false" customHeight="true" outlineLevel="0" collapsed="false">
      <c r="B72" s="56"/>
      <c r="C72" s="173"/>
      <c r="D72" s="173"/>
      <c r="E72" s="126" t="s">
        <v>17</v>
      </c>
      <c r="F72" s="127" t="s">
        <v>18</v>
      </c>
      <c r="G72" s="128" t="n">
        <v>3</v>
      </c>
      <c r="H72" s="128" t="s">
        <v>62</v>
      </c>
      <c r="I72" s="128" t="n">
        <v>0</v>
      </c>
      <c r="J72" s="128" t="n">
        <v>89</v>
      </c>
      <c r="K72" s="128" t="s">
        <v>62</v>
      </c>
      <c r="L72" s="129" t="n">
        <f aca="false">IF(J72="",0,(J72/J74)*100)</f>
        <v>100</v>
      </c>
      <c r="M72" s="128" t="n">
        <v>1</v>
      </c>
      <c r="N72" s="130" t="n">
        <v>6</v>
      </c>
      <c r="O72" s="123" t="n">
        <f aca="false">IF(M72=1,1,0)</f>
        <v>1</v>
      </c>
      <c r="P72" s="124" t="n">
        <f aca="false">IF(M72=2,1,0)</f>
        <v>0</v>
      </c>
      <c r="Q72" s="124" t="n">
        <f aca="false">IF(M72=3,1,0)</f>
        <v>0</v>
      </c>
      <c r="R72" s="125" t="n">
        <f aca="false">IF(M72=4,1,0)</f>
        <v>0</v>
      </c>
      <c r="S72" s="176"/>
      <c r="T72" s="173"/>
      <c r="U72" s="56"/>
    </row>
    <row r="73" customFormat="false" ht="20.1" hidden="false" customHeight="true" outlineLevel="0" collapsed="false">
      <c r="B73" s="56"/>
      <c r="C73" s="173"/>
      <c r="D73" s="177"/>
      <c r="E73" s="97" t="s">
        <v>20</v>
      </c>
      <c r="F73" s="132" t="s">
        <v>21</v>
      </c>
      <c r="G73" s="133" t="n">
        <v>4</v>
      </c>
      <c r="H73" s="133" t="s">
        <v>62</v>
      </c>
      <c r="I73" s="133" t="n">
        <v>0</v>
      </c>
      <c r="J73" s="133" t="n">
        <v>80</v>
      </c>
      <c r="K73" s="133" t="s">
        <v>62</v>
      </c>
      <c r="L73" s="134" t="n">
        <f aca="false">IF(J73="",0,(J73/J74)*100)</f>
        <v>89.8876404494382</v>
      </c>
      <c r="M73" s="133" t="n">
        <v>3</v>
      </c>
      <c r="N73" s="44" t="n">
        <v>1</v>
      </c>
      <c r="O73" s="135" t="n">
        <f aca="false">IF(M73=1,1,0)</f>
        <v>0</v>
      </c>
      <c r="P73" s="136" t="n">
        <f aca="false">IF(M73=2,1,0)</f>
        <v>0</v>
      </c>
      <c r="Q73" s="136" t="n">
        <f aca="false">IF(M73=3,1,0)</f>
        <v>1</v>
      </c>
      <c r="R73" s="137" t="n">
        <f aca="false">IF(M73=4,1,0)</f>
        <v>0</v>
      </c>
      <c r="S73" s="176"/>
      <c r="T73" s="173"/>
      <c r="U73" s="56"/>
    </row>
    <row r="74" customFormat="false" ht="20.1" hidden="true" customHeight="true" outlineLevel="1" collapsed="false">
      <c r="B74" s="56"/>
      <c r="C74" s="173"/>
      <c r="D74" s="173"/>
      <c r="E74" s="173"/>
      <c r="F74" s="178"/>
      <c r="G74" s="178"/>
      <c r="H74" s="173"/>
      <c r="I74" s="156" t="s">
        <v>94</v>
      </c>
      <c r="J74" s="141" t="n">
        <f aca="false">MAX(J70:J73)</f>
        <v>89</v>
      </c>
      <c r="K74" s="179"/>
      <c r="L74" s="176"/>
      <c r="M74" s="173"/>
      <c r="N74" s="144" t="s">
        <v>95</v>
      </c>
      <c r="O74" s="145" t="n">
        <f aca="false">SUM(O70:O73)</f>
        <v>1</v>
      </c>
      <c r="P74" s="146" t="n">
        <f aca="false">SUM(P70:P73)</f>
        <v>1</v>
      </c>
      <c r="Q74" s="145" t="n">
        <f aca="false">SUM(Q70:Q73)</f>
        <v>1</v>
      </c>
      <c r="R74" s="158" t="n">
        <f aca="false">SUM(R70:R73)</f>
        <v>1</v>
      </c>
      <c r="S74" s="180"/>
      <c r="T74" s="173"/>
      <c r="U74" s="56"/>
    </row>
    <row r="75" customFormat="false" ht="20.1" hidden="false" customHeight="true" outlineLevel="0" collapsed="false">
      <c r="B75" s="56"/>
      <c r="C75" s="173"/>
      <c r="D75" s="173"/>
      <c r="E75" s="173"/>
      <c r="F75" s="173"/>
      <c r="G75" s="173"/>
      <c r="H75" s="173"/>
      <c r="I75" s="173"/>
      <c r="J75" s="173"/>
      <c r="K75" s="173"/>
      <c r="L75" s="173"/>
      <c r="M75" s="173"/>
      <c r="N75" s="173"/>
      <c r="O75" s="173"/>
      <c r="P75" s="173"/>
      <c r="Q75" s="173"/>
      <c r="R75" s="173"/>
      <c r="S75" s="173"/>
      <c r="T75" s="173"/>
      <c r="U75" s="56"/>
    </row>
    <row r="76" customFormat="false" ht="20.1" hidden="false" customHeight="true" outlineLevel="0" collapsed="false">
      <c r="B76" s="56"/>
      <c r="D76" s="5"/>
      <c r="E76" s="5"/>
      <c r="F76" s="5"/>
      <c r="G76" s="5"/>
      <c r="H76" s="5"/>
      <c r="I76" s="5"/>
      <c r="J76" s="5"/>
      <c r="U76" s="56"/>
    </row>
    <row r="77" customFormat="false" ht="30" hidden="false" customHeight="true" outlineLevel="0" collapsed="false">
      <c r="B77" s="56"/>
      <c r="C77" s="181"/>
      <c r="D77" s="182" t="s">
        <v>100</v>
      </c>
      <c r="E77" s="182"/>
      <c r="F77" s="182"/>
      <c r="G77" s="182"/>
      <c r="H77" s="182"/>
      <c r="I77" s="182"/>
      <c r="J77" s="182"/>
      <c r="K77" s="182"/>
      <c r="L77" s="182"/>
      <c r="M77" s="182"/>
      <c r="N77" s="182"/>
      <c r="O77" s="182"/>
      <c r="P77" s="182"/>
      <c r="Q77" s="182"/>
      <c r="R77" s="182"/>
      <c r="S77" s="182"/>
      <c r="T77" s="181"/>
      <c r="U77" s="56"/>
    </row>
    <row r="78" customFormat="false" ht="50.1" hidden="false" customHeight="true" outlineLevel="0" collapsed="false">
      <c r="B78" s="56"/>
      <c r="C78" s="181"/>
      <c r="D78" s="183" t="s">
        <v>48</v>
      </c>
      <c r="E78" s="184" t="s">
        <v>49</v>
      </c>
      <c r="F78" s="185" t="s">
        <v>88</v>
      </c>
      <c r="G78" s="186" t="s">
        <v>101</v>
      </c>
      <c r="H78" s="187" t="s">
        <v>102</v>
      </c>
      <c r="I78" s="187"/>
      <c r="J78" s="188" t="s">
        <v>103</v>
      </c>
      <c r="K78" s="189" t="s">
        <v>104</v>
      </c>
      <c r="L78" s="185" t="s">
        <v>105</v>
      </c>
      <c r="M78" s="189" t="s">
        <v>106</v>
      </c>
      <c r="N78" s="185" t="s">
        <v>107</v>
      </c>
      <c r="O78" s="190"/>
      <c r="P78" s="191"/>
      <c r="Q78" s="191"/>
      <c r="R78" s="191"/>
      <c r="S78" s="184" t="s">
        <v>108</v>
      </c>
      <c r="T78" s="181"/>
      <c r="U78" s="56"/>
    </row>
    <row r="79" customFormat="false" ht="20.1" hidden="false" customHeight="true" outlineLevel="0" collapsed="false">
      <c r="B79" s="56"/>
      <c r="C79" s="181"/>
      <c r="D79" s="192" t="s">
        <v>17</v>
      </c>
      <c r="E79" s="193" t="s">
        <v>18</v>
      </c>
      <c r="F79" s="194" t="n">
        <f aca="false">(K79*6+L79*3+M79*1+N79*0)</f>
        <v>21</v>
      </c>
      <c r="G79" s="194" t="n">
        <v>0</v>
      </c>
      <c r="H79" s="195" t="s">
        <v>62</v>
      </c>
      <c r="I79" s="195"/>
      <c r="J79" s="194" t="n">
        <f aca="false">F79+G79</f>
        <v>21</v>
      </c>
      <c r="K79" s="194" t="n">
        <v>3</v>
      </c>
      <c r="L79" s="194" t="n">
        <v>1</v>
      </c>
      <c r="M79" s="194" t="n">
        <v>0</v>
      </c>
      <c r="N79" s="194" t="n">
        <v>0</v>
      </c>
      <c r="O79" s="194"/>
      <c r="P79" s="194"/>
      <c r="Q79" s="194"/>
      <c r="R79" s="194"/>
      <c r="S79" s="196" t="n">
        <f aca="false">(L45+L54+L63+L72)/4</f>
        <v>98.2594936708861</v>
      </c>
      <c r="T79" s="181"/>
      <c r="U79" s="56"/>
      <c r="W79" s="197"/>
      <c r="X79" s="197"/>
      <c r="Y79" s="197"/>
      <c r="Z79" s="197"/>
    </row>
    <row r="80" customFormat="false" ht="20.1" hidden="false" customHeight="true" outlineLevel="0" collapsed="false">
      <c r="B80" s="56"/>
      <c r="C80" s="181"/>
      <c r="D80" s="198" t="s">
        <v>15</v>
      </c>
      <c r="E80" s="199" t="s">
        <v>16</v>
      </c>
      <c r="F80" s="200" t="n">
        <f aca="false">(K80*6+L80*3+M80*1+N80*0)</f>
        <v>12</v>
      </c>
      <c r="G80" s="200" t="n">
        <v>0</v>
      </c>
      <c r="H80" s="201" t="s">
        <v>62</v>
      </c>
      <c r="I80" s="201"/>
      <c r="J80" s="200" t="n">
        <f aca="false">F80+G80</f>
        <v>12</v>
      </c>
      <c r="K80" s="200" t="n">
        <v>1</v>
      </c>
      <c r="L80" s="200" t="n">
        <v>2</v>
      </c>
      <c r="M80" s="200" t="n">
        <v>0</v>
      </c>
      <c r="N80" s="200" t="n">
        <v>1</v>
      </c>
      <c r="O80" s="200"/>
      <c r="P80" s="200"/>
      <c r="Q80" s="200"/>
      <c r="R80" s="200"/>
      <c r="S80" s="202" t="n">
        <f aca="false">(L44+L53+L62+L71)/4</f>
        <v>89.9708894732811</v>
      </c>
      <c r="T80" s="181"/>
      <c r="U80" s="56"/>
      <c r="W80" s="203"/>
      <c r="X80" s="203"/>
      <c r="Y80" s="203"/>
      <c r="Z80" s="203"/>
    </row>
    <row r="81" customFormat="false" ht="20.1" hidden="false" customHeight="true" outlineLevel="0" collapsed="false">
      <c r="B81" s="56"/>
      <c r="C81" s="181"/>
      <c r="D81" s="198" t="s">
        <v>11</v>
      </c>
      <c r="E81" s="199" t="s">
        <v>12</v>
      </c>
      <c r="F81" s="200" t="n">
        <f aca="false">(K81*6+L81*3+M81*1+N81*0)</f>
        <v>4</v>
      </c>
      <c r="G81" s="200" t="n">
        <v>0</v>
      </c>
      <c r="H81" s="201" t="s">
        <v>62</v>
      </c>
      <c r="I81" s="201"/>
      <c r="J81" s="200" t="n">
        <f aca="false">F81+G81</f>
        <v>4</v>
      </c>
      <c r="K81" s="200" t="n">
        <v>0</v>
      </c>
      <c r="L81" s="200" t="n">
        <v>1</v>
      </c>
      <c r="M81" s="200" t="n">
        <v>1</v>
      </c>
      <c r="N81" s="200" t="n">
        <v>2</v>
      </c>
      <c r="O81" s="200"/>
      <c r="P81" s="200"/>
      <c r="Q81" s="200"/>
      <c r="R81" s="200"/>
      <c r="S81" s="202" t="n">
        <f aca="false">(L43+L52+L61+L70)/4</f>
        <v>77.1146374903046</v>
      </c>
      <c r="T81" s="181"/>
      <c r="U81" s="56"/>
      <c r="W81" s="203"/>
      <c r="X81" s="203"/>
      <c r="Y81" s="203"/>
      <c r="Z81" s="203"/>
    </row>
    <row r="82" customFormat="false" ht="20.1" hidden="false" customHeight="true" outlineLevel="0" collapsed="false">
      <c r="B82" s="56"/>
      <c r="C82" s="181"/>
      <c r="D82" s="204" t="s">
        <v>20</v>
      </c>
      <c r="E82" s="205" t="s">
        <v>21</v>
      </c>
      <c r="F82" s="206" t="n">
        <f aca="false">(K82*6+L82*3+M82*1+N82*0)</f>
        <v>3</v>
      </c>
      <c r="G82" s="206" t="n">
        <v>0</v>
      </c>
      <c r="H82" s="207" t="s">
        <v>62</v>
      </c>
      <c r="I82" s="207"/>
      <c r="J82" s="206" t="n">
        <f aca="false">F82+G82</f>
        <v>3</v>
      </c>
      <c r="K82" s="206" t="n">
        <v>0</v>
      </c>
      <c r="L82" s="206" t="n">
        <v>0</v>
      </c>
      <c r="M82" s="206" t="n">
        <v>3</v>
      </c>
      <c r="N82" s="206" t="n">
        <v>1</v>
      </c>
      <c r="O82" s="206"/>
      <c r="P82" s="206"/>
      <c r="Q82" s="206"/>
      <c r="R82" s="206"/>
      <c r="S82" s="208" t="n">
        <f aca="false">(L46+L55+L64+L73)/4</f>
        <v>78.4544602071681</v>
      </c>
      <c r="T82" s="181"/>
      <c r="U82" s="56"/>
      <c r="W82" s="203"/>
      <c r="X82" s="203"/>
      <c r="Y82" s="203"/>
      <c r="Z82" s="203"/>
      <c r="AB82" s="203"/>
      <c r="AC82" s="203"/>
      <c r="AD82" s="203"/>
      <c r="AE82" s="203"/>
    </row>
    <row r="83" customFormat="false" ht="20.1" hidden="false" customHeight="true" outlineLevel="0" collapsed="false">
      <c r="B83" s="56"/>
      <c r="C83" s="181"/>
      <c r="D83" s="209"/>
      <c r="E83" s="209"/>
      <c r="F83" s="210"/>
      <c r="G83" s="210"/>
      <c r="H83" s="211"/>
      <c r="I83" s="211"/>
      <c r="J83" s="210"/>
      <c r="K83" s="210"/>
      <c r="L83" s="210"/>
      <c r="M83" s="210"/>
      <c r="N83" s="210"/>
      <c r="O83" s="210"/>
      <c r="P83" s="210"/>
      <c r="Q83" s="210"/>
      <c r="R83" s="210"/>
      <c r="S83" s="212"/>
      <c r="T83" s="181"/>
      <c r="U83" s="56"/>
      <c r="W83" s="203"/>
      <c r="X83" s="203"/>
      <c r="Y83" s="203"/>
      <c r="Z83" s="203"/>
    </row>
    <row r="84" customFormat="false" ht="20.1" hidden="false" customHeight="true" outlineLevel="0" collapsed="false">
      <c r="B84" s="56"/>
      <c r="C84" s="56"/>
      <c r="D84" s="213"/>
      <c r="E84" s="213"/>
      <c r="F84" s="164"/>
      <c r="G84" s="164"/>
      <c r="H84" s="213"/>
      <c r="I84" s="213"/>
      <c r="J84" s="213"/>
      <c r="K84" s="56"/>
      <c r="L84" s="56"/>
      <c r="M84" s="56"/>
      <c r="N84" s="56"/>
      <c r="O84" s="56"/>
      <c r="P84" s="56"/>
      <c r="Q84" s="56"/>
      <c r="R84" s="56"/>
      <c r="S84" s="56"/>
      <c r="T84" s="56"/>
      <c r="U84" s="56"/>
    </row>
    <row r="85" customFormat="false" ht="20.1" hidden="false" customHeight="true" outlineLevel="0" collapsed="false">
      <c r="D85" s="214"/>
    </row>
    <row r="86" customFormat="false" ht="20.1" hidden="false" customHeight="true" outlineLevel="0" collapsed="false">
      <c r="D86" s="215"/>
    </row>
    <row r="87" customFormat="false" ht="20.1" hidden="false" customHeight="true" outlineLevel="0" collapsed="false">
      <c r="B87" s="56"/>
      <c r="C87" s="56"/>
      <c r="D87" s="57"/>
      <c r="E87" s="57"/>
      <c r="F87" s="57"/>
      <c r="G87" s="57"/>
      <c r="H87" s="56"/>
      <c r="I87" s="56"/>
      <c r="J87" s="56"/>
      <c r="K87" s="56"/>
      <c r="L87" s="56"/>
      <c r="M87" s="56"/>
      <c r="N87" s="56"/>
      <c r="O87" s="56"/>
      <c r="P87" s="56"/>
      <c r="Q87" s="56"/>
      <c r="R87" s="56"/>
      <c r="S87" s="56"/>
      <c r="T87" s="56"/>
      <c r="U87" s="56"/>
    </row>
    <row r="88" customFormat="false" ht="30" hidden="false" customHeight="true" outlineLevel="0" collapsed="false">
      <c r="B88" s="56"/>
      <c r="C88" s="58" t="s">
        <v>109</v>
      </c>
      <c r="D88" s="58"/>
      <c r="E88" s="58"/>
      <c r="F88" s="58"/>
      <c r="G88" s="58"/>
      <c r="H88" s="58"/>
      <c r="I88" s="58"/>
      <c r="J88" s="58"/>
      <c r="K88" s="58"/>
      <c r="L88" s="58"/>
      <c r="M88" s="58"/>
      <c r="N88" s="58"/>
      <c r="O88" s="58"/>
      <c r="P88" s="58"/>
      <c r="Q88" s="58"/>
      <c r="R88" s="58"/>
      <c r="S88" s="58"/>
      <c r="T88" s="58"/>
      <c r="U88" s="56"/>
    </row>
    <row r="89" customFormat="false" ht="20.1" hidden="false" customHeight="true" outlineLevel="0" collapsed="false">
      <c r="B89" s="56"/>
      <c r="U89" s="56"/>
    </row>
    <row r="90" customFormat="false" ht="20.1" hidden="false" customHeight="true" outlineLevel="0" collapsed="false">
      <c r="B90" s="56"/>
      <c r="D90" s="59" t="s">
        <v>48</v>
      </c>
      <c r="E90" s="60" t="s">
        <v>49</v>
      </c>
      <c r="F90" s="61" t="s">
        <v>10</v>
      </c>
      <c r="G90" s="216" t="s">
        <v>50</v>
      </c>
      <c r="H90" s="216"/>
      <c r="I90" s="216"/>
      <c r="J90" s="216"/>
      <c r="K90" s="60" t="s">
        <v>51</v>
      </c>
      <c r="L90" s="62" t="s">
        <v>52</v>
      </c>
      <c r="M90" s="62"/>
      <c r="N90" s="62"/>
      <c r="O90" s="62"/>
      <c r="P90" s="62"/>
      <c r="Q90" s="62"/>
      <c r="R90" s="62"/>
      <c r="S90" s="62"/>
      <c r="U90" s="56"/>
    </row>
    <row r="91" customFormat="false" ht="20.1" hidden="false" customHeight="true" outlineLevel="0" collapsed="false">
      <c r="B91" s="56"/>
      <c r="D91" s="59"/>
      <c r="E91" s="60"/>
      <c r="F91" s="60"/>
      <c r="G91" s="66" t="s">
        <v>53</v>
      </c>
      <c r="H91" s="65" t="s">
        <v>54</v>
      </c>
      <c r="I91" s="61" t="s">
        <v>55</v>
      </c>
      <c r="J91" s="61"/>
      <c r="K91" s="65" t="s">
        <v>56</v>
      </c>
      <c r="L91" s="217" t="s">
        <v>53</v>
      </c>
      <c r="M91" s="218" t="s">
        <v>57</v>
      </c>
      <c r="N91" s="61" t="s">
        <v>55</v>
      </c>
      <c r="O91" s="61"/>
      <c r="P91" s="61"/>
      <c r="Q91" s="61"/>
      <c r="R91" s="61"/>
      <c r="S91" s="61"/>
      <c r="U91" s="56"/>
    </row>
    <row r="92" customFormat="false" ht="27.95" hidden="false" customHeight="true" outlineLevel="0" collapsed="false">
      <c r="B92" s="56"/>
      <c r="D92" s="67" t="s">
        <v>22</v>
      </c>
      <c r="E92" s="16" t="s">
        <v>23</v>
      </c>
      <c r="F92" s="20" t="n">
        <v>1</v>
      </c>
      <c r="G92" s="68" t="s">
        <v>110</v>
      </c>
      <c r="H92" s="69" t="s">
        <v>111</v>
      </c>
      <c r="I92" s="70" t="s">
        <v>112</v>
      </c>
      <c r="J92" s="70"/>
      <c r="K92" s="219" t="s">
        <v>113</v>
      </c>
      <c r="L92" s="72" t="s">
        <v>62</v>
      </c>
      <c r="M92" s="73" t="s">
        <v>62</v>
      </c>
      <c r="N92" s="220" t="s">
        <v>62</v>
      </c>
      <c r="O92" s="220"/>
      <c r="P92" s="220"/>
      <c r="Q92" s="220"/>
      <c r="R92" s="220"/>
      <c r="S92" s="220"/>
      <c r="U92" s="56"/>
    </row>
    <row r="93" customFormat="false" ht="15" hidden="false" customHeight="true" outlineLevel="0" collapsed="false">
      <c r="B93" s="56"/>
      <c r="D93" s="67"/>
      <c r="E93" s="16"/>
      <c r="F93" s="20"/>
      <c r="G93" s="68"/>
      <c r="H93" s="69"/>
      <c r="I93" s="75" t="s">
        <v>114</v>
      </c>
      <c r="J93" s="75"/>
      <c r="K93" s="219"/>
      <c r="L93" s="72"/>
      <c r="M93" s="73"/>
      <c r="N93" s="220"/>
      <c r="O93" s="220"/>
      <c r="P93" s="220"/>
      <c r="Q93" s="220"/>
      <c r="R93" s="220"/>
      <c r="S93" s="220"/>
      <c r="U93" s="56"/>
    </row>
    <row r="94" customFormat="false" ht="15" hidden="false" customHeight="true" outlineLevel="0" collapsed="false">
      <c r="B94" s="56"/>
      <c r="D94" s="67"/>
      <c r="E94" s="16"/>
      <c r="F94" s="20"/>
      <c r="G94" s="68"/>
      <c r="H94" s="69"/>
      <c r="I94" s="75" t="s">
        <v>115</v>
      </c>
      <c r="J94" s="75"/>
      <c r="K94" s="219"/>
      <c r="L94" s="72"/>
      <c r="M94" s="73"/>
      <c r="N94" s="220"/>
      <c r="O94" s="220"/>
      <c r="P94" s="220"/>
      <c r="Q94" s="220"/>
      <c r="R94" s="220"/>
      <c r="S94" s="220"/>
      <c r="U94" s="56"/>
    </row>
    <row r="95" customFormat="false" ht="15" hidden="false" customHeight="true" outlineLevel="0" collapsed="false">
      <c r="B95" s="56"/>
      <c r="D95" s="67"/>
      <c r="E95" s="16"/>
      <c r="F95" s="20"/>
      <c r="G95" s="68"/>
      <c r="H95" s="69"/>
      <c r="I95" s="76" t="s">
        <v>116</v>
      </c>
      <c r="J95" s="76"/>
      <c r="K95" s="219"/>
      <c r="L95" s="72"/>
      <c r="M95" s="73"/>
      <c r="N95" s="220"/>
      <c r="O95" s="220"/>
      <c r="P95" s="220"/>
      <c r="Q95" s="220"/>
      <c r="R95" s="220"/>
      <c r="S95" s="220"/>
      <c r="U95" s="56"/>
    </row>
    <row r="96" customFormat="false" ht="30" hidden="false" customHeight="true" outlineLevel="0" collapsed="false">
      <c r="B96" s="56"/>
      <c r="D96" s="87" t="s">
        <v>24</v>
      </c>
      <c r="E96" s="88" t="s">
        <v>25</v>
      </c>
      <c r="F96" s="28" t="n">
        <v>2</v>
      </c>
      <c r="G96" s="221" t="s">
        <v>58</v>
      </c>
      <c r="H96" s="222" t="s">
        <v>117</v>
      </c>
      <c r="I96" s="223" t="s">
        <v>118</v>
      </c>
      <c r="J96" s="223"/>
      <c r="K96" s="224" t="s">
        <v>113</v>
      </c>
      <c r="L96" s="225" t="s">
        <v>62</v>
      </c>
      <c r="M96" s="226" t="s">
        <v>62</v>
      </c>
      <c r="N96" s="227" t="s">
        <v>62</v>
      </c>
      <c r="O96" s="227"/>
      <c r="P96" s="227"/>
      <c r="Q96" s="227"/>
      <c r="R96" s="227"/>
      <c r="S96" s="227"/>
      <c r="U96" s="56"/>
    </row>
    <row r="97" customFormat="false" ht="30" hidden="false" customHeight="true" outlineLevel="0" collapsed="false">
      <c r="B97" s="56"/>
      <c r="D97" s="228" t="s">
        <v>26</v>
      </c>
      <c r="E97" s="229" t="s">
        <v>27</v>
      </c>
      <c r="F97" s="28" t="n">
        <v>3</v>
      </c>
      <c r="G97" s="230" t="s">
        <v>58</v>
      </c>
      <c r="H97" s="231" t="s">
        <v>119</v>
      </c>
      <c r="I97" s="95" t="s">
        <v>120</v>
      </c>
      <c r="J97" s="95"/>
      <c r="K97" s="232" t="s">
        <v>113</v>
      </c>
      <c r="L97" s="233" t="s">
        <v>62</v>
      </c>
      <c r="M97" s="234" t="s">
        <v>62</v>
      </c>
      <c r="N97" s="235" t="s">
        <v>62</v>
      </c>
      <c r="O97" s="235"/>
      <c r="P97" s="235"/>
      <c r="Q97" s="235"/>
      <c r="R97" s="235"/>
      <c r="S97" s="235"/>
      <c r="U97" s="56"/>
    </row>
    <row r="98" customFormat="false" ht="15" hidden="false" customHeight="true" outlineLevel="0" collapsed="false">
      <c r="B98" s="56"/>
      <c r="D98" s="236" t="s">
        <v>28</v>
      </c>
      <c r="E98" s="39" t="s">
        <v>29</v>
      </c>
      <c r="F98" s="44" t="n">
        <v>4</v>
      </c>
      <c r="G98" s="237" t="s">
        <v>58</v>
      </c>
      <c r="H98" s="238" t="s">
        <v>121</v>
      </c>
      <c r="I98" s="101" t="s">
        <v>122</v>
      </c>
      <c r="J98" s="101"/>
      <c r="K98" s="239" t="s">
        <v>113</v>
      </c>
      <c r="L98" s="240" t="s">
        <v>62</v>
      </c>
      <c r="M98" s="241" t="s">
        <v>62</v>
      </c>
      <c r="N98" s="242" t="s">
        <v>62</v>
      </c>
      <c r="O98" s="242"/>
      <c r="P98" s="242"/>
      <c r="Q98" s="242"/>
      <c r="R98" s="242"/>
      <c r="S98" s="242"/>
      <c r="U98" s="56"/>
    </row>
    <row r="99" customFormat="false" ht="15.75" hidden="false" customHeight="true" outlineLevel="0" collapsed="false">
      <c r="B99" s="56"/>
      <c r="D99" s="236"/>
      <c r="E99" s="39"/>
      <c r="F99" s="44"/>
      <c r="G99" s="237"/>
      <c r="H99" s="238"/>
      <c r="I99" s="104" t="s">
        <v>123</v>
      </c>
      <c r="J99" s="104"/>
      <c r="K99" s="239"/>
      <c r="L99" s="240"/>
      <c r="M99" s="241"/>
      <c r="N99" s="241"/>
      <c r="O99" s="242"/>
      <c r="P99" s="242"/>
      <c r="Q99" s="242"/>
      <c r="R99" s="242"/>
      <c r="S99" s="242"/>
      <c r="U99" s="56"/>
    </row>
    <row r="100" customFormat="false" ht="20.1" hidden="false" customHeight="true" outlineLevel="0" collapsed="false">
      <c r="B100" s="56"/>
      <c r="U100" s="56"/>
    </row>
    <row r="101" customFormat="false" ht="20.1" hidden="false" customHeight="true" outlineLevel="0" collapsed="false">
      <c r="B101" s="56"/>
      <c r="C101" s="106"/>
      <c r="D101" s="106"/>
      <c r="E101" s="107" t="str">
        <f aca="false">IF(OR(L92="-",L92= ""),H92,L92)</f>
        <v>Orakel von Delphi</v>
      </c>
      <c r="F101" s="107"/>
      <c r="G101" s="107"/>
      <c r="H101" s="107"/>
      <c r="I101" s="107"/>
      <c r="J101" s="107"/>
      <c r="K101" s="107"/>
      <c r="L101" s="107"/>
      <c r="M101" s="107"/>
      <c r="N101" s="107"/>
      <c r="O101" s="108"/>
      <c r="P101" s="108"/>
      <c r="Q101" s="108"/>
      <c r="R101" s="108"/>
      <c r="S101" s="108"/>
      <c r="T101" s="106"/>
      <c r="U101" s="56"/>
    </row>
    <row r="102" customFormat="false" ht="50.1" hidden="false" customHeight="true" outlineLevel="0" collapsed="false">
      <c r="B102" s="56"/>
      <c r="C102" s="106"/>
      <c r="D102" s="108"/>
      <c r="E102" s="59" t="s">
        <v>48</v>
      </c>
      <c r="F102" s="109" t="s">
        <v>80</v>
      </c>
      <c r="G102" s="61" t="s">
        <v>81</v>
      </c>
      <c r="H102" s="60" t="s">
        <v>82</v>
      </c>
      <c r="I102" s="6" t="s">
        <v>83</v>
      </c>
      <c r="J102" s="60" t="s">
        <v>84</v>
      </c>
      <c r="K102" s="110" t="s">
        <v>85</v>
      </c>
      <c r="L102" s="60" t="s">
        <v>86</v>
      </c>
      <c r="M102" s="111" t="s">
        <v>87</v>
      </c>
      <c r="N102" s="61" t="s">
        <v>88</v>
      </c>
      <c r="O102" s="112" t="s">
        <v>89</v>
      </c>
      <c r="P102" s="113" t="s">
        <v>90</v>
      </c>
      <c r="Q102" s="113" t="s">
        <v>91</v>
      </c>
      <c r="R102" s="12" t="s">
        <v>92</v>
      </c>
      <c r="S102" s="108"/>
      <c r="T102" s="106"/>
      <c r="U102" s="56"/>
    </row>
    <row r="103" customFormat="false" ht="20.1" hidden="false" customHeight="true" outlineLevel="0" collapsed="false">
      <c r="B103" s="56"/>
      <c r="C103" s="106"/>
      <c r="D103" s="131"/>
      <c r="E103" s="243" t="s">
        <v>22</v>
      </c>
      <c r="F103" s="244" t="s">
        <v>23</v>
      </c>
      <c r="G103" s="245" t="n">
        <v>2</v>
      </c>
      <c r="H103" s="245" t="s">
        <v>124</v>
      </c>
      <c r="I103" s="245" t="s">
        <v>62</v>
      </c>
      <c r="J103" s="245" t="s">
        <v>125</v>
      </c>
      <c r="K103" s="245" t="s">
        <v>62</v>
      </c>
      <c r="L103" s="246" t="n">
        <v>100</v>
      </c>
      <c r="M103" s="245" t="n">
        <v>1</v>
      </c>
      <c r="N103" s="247" t="n">
        <v>6</v>
      </c>
      <c r="O103" s="116" t="n">
        <f aca="false">IF(M103=1,1,0)</f>
        <v>1</v>
      </c>
      <c r="P103" s="117" t="n">
        <f aca="false">IF(M103=2,1,0)</f>
        <v>0</v>
      </c>
      <c r="Q103" s="117" t="n">
        <f aca="false">IF(M103=3,1,0)</f>
        <v>0</v>
      </c>
      <c r="R103" s="118" t="n">
        <f aca="false">IF(M103=4,1,0)</f>
        <v>0</v>
      </c>
      <c r="S103" s="119"/>
      <c r="T103" s="106"/>
      <c r="U103" s="56"/>
    </row>
    <row r="104" customFormat="false" ht="27.95" hidden="false" customHeight="true" outlineLevel="0" collapsed="false">
      <c r="B104" s="56"/>
      <c r="C104" s="106"/>
      <c r="D104" s="106"/>
      <c r="E104" s="77" t="s">
        <v>24</v>
      </c>
      <c r="F104" s="29" t="s">
        <v>25</v>
      </c>
      <c r="G104" s="248" t="n">
        <v>1</v>
      </c>
      <c r="H104" s="248" t="s">
        <v>126</v>
      </c>
      <c r="I104" s="248" t="s">
        <v>62</v>
      </c>
      <c r="J104" s="249" t="s">
        <v>127</v>
      </c>
      <c r="K104" s="249" t="s">
        <v>128</v>
      </c>
      <c r="L104" s="250" t="n">
        <f aca="false">(L114+L122+L130)/3</f>
        <v>37.7614111656665</v>
      </c>
      <c r="M104" s="248" t="n">
        <v>4</v>
      </c>
      <c r="N104" s="251" t="n">
        <v>0</v>
      </c>
      <c r="O104" s="123" t="n">
        <f aca="false">IF(M104=1,1,0)</f>
        <v>0</v>
      </c>
      <c r="P104" s="124" t="n">
        <f aca="false">IF(M104=2,1,0)</f>
        <v>0</v>
      </c>
      <c r="Q104" s="124" t="n">
        <f aca="false">IF(M104=3,1,0)</f>
        <v>0</v>
      </c>
      <c r="R104" s="125" t="n">
        <f aca="false">IF(M104=4,1,0)</f>
        <v>1</v>
      </c>
      <c r="S104" s="119"/>
      <c r="T104" s="106"/>
      <c r="U104" s="56"/>
    </row>
    <row r="105" customFormat="false" ht="27.95" hidden="false" customHeight="true" outlineLevel="0" collapsed="false">
      <c r="B105" s="56"/>
      <c r="C105" s="106"/>
      <c r="D105" s="106"/>
      <c r="E105" s="77" t="s">
        <v>26</v>
      </c>
      <c r="F105" s="29" t="s">
        <v>27</v>
      </c>
      <c r="G105" s="248" t="n">
        <v>3</v>
      </c>
      <c r="H105" s="248" t="s">
        <v>129</v>
      </c>
      <c r="I105" s="248" t="s">
        <v>62</v>
      </c>
      <c r="J105" s="249" t="s">
        <v>127</v>
      </c>
      <c r="K105" s="248" t="s">
        <v>130</v>
      </c>
      <c r="L105" s="250" t="n">
        <f aca="false">(L115+L121+L131)/3</f>
        <v>57.3848654300782</v>
      </c>
      <c r="M105" s="248" t="n">
        <v>3</v>
      </c>
      <c r="N105" s="251" t="n">
        <v>1</v>
      </c>
      <c r="O105" s="123" t="n">
        <f aca="false">IF(M105=1,1,0)</f>
        <v>0</v>
      </c>
      <c r="P105" s="124" t="n">
        <f aca="false">IF(M105=2,1,0)</f>
        <v>0</v>
      </c>
      <c r="Q105" s="124" t="n">
        <f aca="false">IF(M105=3,1,0)</f>
        <v>1</v>
      </c>
      <c r="R105" s="125" t="n">
        <f aca="false">IF(M105=4,1,0)</f>
        <v>0</v>
      </c>
      <c r="S105" s="119"/>
      <c r="T105" s="106"/>
      <c r="U105" s="56"/>
    </row>
    <row r="106" customFormat="false" ht="27.95" hidden="false" customHeight="true" outlineLevel="0" collapsed="false">
      <c r="B106" s="56"/>
      <c r="C106" s="106"/>
      <c r="D106" s="106"/>
      <c r="E106" s="252" t="s">
        <v>28</v>
      </c>
      <c r="F106" s="39" t="s">
        <v>29</v>
      </c>
      <c r="G106" s="253" t="n">
        <v>4</v>
      </c>
      <c r="H106" s="254" t="s">
        <v>131</v>
      </c>
      <c r="I106" s="253" t="s">
        <v>62</v>
      </c>
      <c r="J106" s="254" t="s">
        <v>132</v>
      </c>
      <c r="K106" s="254" t="s">
        <v>62</v>
      </c>
      <c r="L106" s="255" t="n">
        <f aca="false">(L113+L124+L132)/3</f>
        <v>83.8260365521004</v>
      </c>
      <c r="M106" s="253" t="n">
        <v>2</v>
      </c>
      <c r="N106" s="256" t="n">
        <v>3</v>
      </c>
      <c r="O106" s="135" t="n">
        <f aca="false">IF(M106=1,1,0)</f>
        <v>0</v>
      </c>
      <c r="P106" s="136" t="n">
        <f aca="false">IF(M106=2,1,0)</f>
        <v>1</v>
      </c>
      <c r="Q106" s="136" t="n">
        <f aca="false">IF(M106=3,1,0)</f>
        <v>0</v>
      </c>
      <c r="R106" s="137" t="n">
        <f aca="false">IF(M106=4,1,0)</f>
        <v>0</v>
      </c>
      <c r="S106" s="119"/>
      <c r="T106" s="106"/>
      <c r="U106" s="56"/>
    </row>
    <row r="107" customFormat="false" ht="20.1" hidden="true" customHeight="true" outlineLevel="1" collapsed="false">
      <c r="B107" s="56"/>
      <c r="C107" s="106"/>
      <c r="D107" s="131"/>
      <c r="E107" s="131"/>
      <c r="F107" s="139"/>
      <c r="G107" s="139"/>
      <c r="H107" s="106"/>
      <c r="I107" s="170" t="s">
        <v>94</v>
      </c>
      <c r="J107" s="141" t="n">
        <f aca="false">MAX(J103:J106)</f>
        <v>0</v>
      </c>
      <c r="K107" s="257"/>
      <c r="L107" s="147"/>
      <c r="M107" s="106"/>
      <c r="N107" s="144" t="s">
        <v>95</v>
      </c>
      <c r="O107" s="145" t="n">
        <f aca="false">SUM(O103:O106)</f>
        <v>1</v>
      </c>
      <c r="P107" s="146" t="n">
        <f aca="false">SUM(P103:P106)</f>
        <v>1</v>
      </c>
      <c r="Q107" s="145" t="n">
        <f aca="false">SUM(Q103:Q106)</f>
        <v>1</v>
      </c>
      <c r="R107" s="158" t="n">
        <f aca="false">SUM(R103:R106)</f>
        <v>1</v>
      </c>
      <c r="S107" s="147"/>
      <c r="T107" s="106"/>
      <c r="U107" s="56"/>
    </row>
    <row r="108" customFormat="false" ht="20.1" hidden="false" customHeight="true" outlineLevel="0" collapsed="false">
      <c r="B108" s="56"/>
      <c r="C108" s="106"/>
      <c r="D108" s="106"/>
      <c r="E108" s="106"/>
      <c r="F108" s="106"/>
      <c r="G108" s="106"/>
      <c r="H108" s="106"/>
      <c r="I108" s="106"/>
      <c r="J108" s="106"/>
      <c r="K108" s="106"/>
      <c r="L108" s="106"/>
      <c r="M108" s="106"/>
      <c r="N108" s="106"/>
      <c r="O108" s="106"/>
      <c r="P108" s="106"/>
      <c r="Q108" s="106"/>
      <c r="R108" s="106"/>
      <c r="S108" s="106"/>
      <c r="T108" s="106"/>
      <c r="U108" s="56"/>
    </row>
    <row r="109" customFormat="false" ht="20.1" hidden="false" customHeight="true" outlineLevel="0" collapsed="false">
      <c r="B109" s="56"/>
      <c r="U109" s="56"/>
    </row>
    <row r="110" customFormat="false" ht="20.1" hidden="false" customHeight="true" outlineLevel="0" collapsed="false">
      <c r="B110" s="56"/>
      <c r="C110" s="149"/>
      <c r="D110" s="149"/>
      <c r="E110" s="150" t="str">
        <f aca="false">IF(OR(M96="-",M96= ""),H96,M96)</f>
        <v>Tzolk'in</v>
      </c>
      <c r="F110" s="150"/>
      <c r="G110" s="150"/>
      <c r="H110" s="150"/>
      <c r="I110" s="150"/>
      <c r="J110" s="150"/>
      <c r="K110" s="150"/>
      <c r="L110" s="150"/>
      <c r="M110" s="150"/>
      <c r="N110" s="150"/>
      <c r="O110" s="151"/>
      <c r="P110" s="151"/>
      <c r="Q110" s="151"/>
      <c r="R110" s="151"/>
      <c r="S110" s="151"/>
      <c r="T110" s="149"/>
      <c r="U110" s="56"/>
    </row>
    <row r="111" customFormat="false" ht="50.1" hidden="false" customHeight="true" outlineLevel="0" collapsed="false">
      <c r="B111" s="56"/>
      <c r="C111" s="149"/>
      <c r="D111" s="151"/>
      <c r="E111" s="59" t="s">
        <v>48</v>
      </c>
      <c r="F111" s="109" t="s">
        <v>80</v>
      </c>
      <c r="G111" s="61" t="s">
        <v>81</v>
      </c>
      <c r="H111" s="60" t="s">
        <v>82</v>
      </c>
      <c r="I111" s="6" t="s">
        <v>83</v>
      </c>
      <c r="J111" s="60" t="s">
        <v>84</v>
      </c>
      <c r="K111" s="110" t="s">
        <v>85</v>
      </c>
      <c r="L111" s="60" t="s">
        <v>86</v>
      </c>
      <c r="M111" s="111" t="s">
        <v>87</v>
      </c>
      <c r="N111" s="61" t="s">
        <v>88</v>
      </c>
      <c r="O111" s="112" t="s">
        <v>89</v>
      </c>
      <c r="P111" s="113" t="s">
        <v>90</v>
      </c>
      <c r="Q111" s="113" t="s">
        <v>91</v>
      </c>
      <c r="R111" s="12" t="s">
        <v>92</v>
      </c>
      <c r="S111" s="151"/>
      <c r="T111" s="149"/>
      <c r="U111" s="56"/>
    </row>
    <row r="112" customFormat="false" ht="20.1" hidden="false" customHeight="true" outlineLevel="0" collapsed="false">
      <c r="B112" s="56"/>
      <c r="C112" s="149"/>
      <c r="D112" s="153"/>
      <c r="E112" s="243" t="s">
        <v>22</v>
      </c>
      <c r="F112" s="244" t="s">
        <v>23</v>
      </c>
      <c r="G112" s="245" t="n">
        <v>1</v>
      </c>
      <c r="H112" s="245" t="s">
        <v>62</v>
      </c>
      <c r="I112" s="245" t="n">
        <v>0</v>
      </c>
      <c r="J112" s="245" t="n">
        <v>96</v>
      </c>
      <c r="K112" s="245" t="s">
        <v>62</v>
      </c>
      <c r="L112" s="246" t="n">
        <f aca="false">IF(J112="",0,(J112/J116)*100)</f>
        <v>100</v>
      </c>
      <c r="M112" s="245" t="n">
        <v>1</v>
      </c>
      <c r="N112" s="247" t="n">
        <v>6</v>
      </c>
      <c r="O112" s="116" t="n">
        <f aca="false">IF(M112=1,1,0)</f>
        <v>1</v>
      </c>
      <c r="P112" s="117" t="n">
        <f aca="false">IF(M112=2,1,0)</f>
        <v>0</v>
      </c>
      <c r="Q112" s="117" t="n">
        <f aca="false">IF(M112=3,1,0)</f>
        <v>0</v>
      </c>
      <c r="R112" s="118" t="n">
        <f aca="false">IF(M112=4,1,0)</f>
        <v>0</v>
      </c>
      <c r="S112" s="152"/>
      <c r="T112" s="149"/>
      <c r="U112" s="56"/>
    </row>
    <row r="113" customFormat="false" ht="20.1" hidden="false" customHeight="true" outlineLevel="0" collapsed="false">
      <c r="B113" s="56"/>
      <c r="C113" s="149"/>
      <c r="D113" s="149"/>
      <c r="E113" s="77" t="s">
        <v>24</v>
      </c>
      <c r="F113" s="29" t="s">
        <v>25</v>
      </c>
      <c r="G113" s="248" t="n">
        <v>2</v>
      </c>
      <c r="H113" s="248" t="s">
        <v>62</v>
      </c>
      <c r="I113" s="248" t="n">
        <v>0</v>
      </c>
      <c r="J113" s="248" t="n">
        <v>81</v>
      </c>
      <c r="K113" s="249" t="s">
        <v>62</v>
      </c>
      <c r="L113" s="250" t="n">
        <f aca="false">IF(J113="",0,(J113/J116)*100)</f>
        <v>84.375</v>
      </c>
      <c r="M113" s="248" t="n">
        <v>2</v>
      </c>
      <c r="N113" s="251" t="n">
        <v>3</v>
      </c>
      <c r="O113" s="123" t="n">
        <f aca="false">IF(M113=1,1,0)</f>
        <v>0</v>
      </c>
      <c r="P113" s="124" t="n">
        <f aca="false">IF(M113=2,1,0)</f>
        <v>1</v>
      </c>
      <c r="Q113" s="124" t="n">
        <f aca="false">IF(M113=3,1,0)</f>
        <v>0</v>
      </c>
      <c r="R113" s="125" t="n">
        <f aca="false">IF(M113=4,1,0)</f>
        <v>0</v>
      </c>
      <c r="S113" s="152"/>
      <c r="T113" s="149"/>
      <c r="U113" s="56"/>
    </row>
    <row r="114" customFormat="false" ht="20.1" hidden="false" customHeight="true" outlineLevel="0" collapsed="false">
      <c r="B114" s="56"/>
      <c r="C114" s="149"/>
      <c r="D114" s="153"/>
      <c r="E114" s="77" t="s">
        <v>26</v>
      </c>
      <c r="F114" s="29" t="s">
        <v>27</v>
      </c>
      <c r="G114" s="248" t="n">
        <v>4</v>
      </c>
      <c r="H114" s="248" t="s">
        <v>62</v>
      </c>
      <c r="I114" s="248" t="n">
        <v>0</v>
      </c>
      <c r="J114" s="248" t="n">
        <v>16</v>
      </c>
      <c r="K114" s="248" t="s">
        <v>62</v>
      </c>
      <c r="L114" s="250" t="n">
        <f aca="false">IF(J114="",0,(J114/J116)*100)</f>
        <v>16.6666666666667</v>
      </c>
      <c r="M114" s="248" t="n">
        <v>4</v>
      </c>
      <c r="N114" s="251" t="n">
        <v>0</v>
      </c>
      <c r="O114" s="123" t="n">
        <f aca="false">IF(M114=1,1,0)</f>
        <v>0</v>
      </c>
      <c r="P114" s="124" t="n">
        <f aca="false">IF(M114=2,1,0)</f>
        <v>0</v>
      </c>
      <c r="Q114" s="124" t="n">
        <f aca="false">IF(M114=3,1,0)</f>
        <v>0</v>
      </c>
      <c r="R114" s="125" t="n">
        <f aca="false">IF(M114=4,1,0)</f>
        <v>1</v>
      </c>
      <c r="S114" s="152"/>
      <c r="T114" s="149"/>
      <c r="U114" s="56"/>
    </row>
    <row r="115" customFormat="false" ht="20.1" hidden="false" customHeight="true" outlineLevel="0" collapsed="false">
      <c r="B115" s="56"/>
      <c r="C115" s="149"/>
      <c r="D115" s="149"/>
      <c r="E115" s="252" t="s">
        <v>28</v>
      </c>
      <c r="F115" s="39" t="s">
        <v>29</v>
      </c>
      <c r="G115" s="253" t="n">
        <v>3</v>
      </c>
      <c r="H115" s="254" t="s">
        <v>62</v>
      </c>
      <c r="I115" s="253" t="n">
        <v>0</v>
      </c>
      <c r="J115" s="253" t="n">
        <v>17</v>
      </c>
      <c r="K115" s="254" t="s">
        <v>62</v>
      </c>
      <c r="L115" s="255" t="n">
        <f aca="false">IF(J115="",0,(J115/J116)*100)</f>
        <v>17.7083333333333</v>
      </c>
      <c r="M115" s="253" t="n">
        <v>3</v>
      </c>
      <c r="N115" s="256" t="n">
        <v>1</v>
      </c>
      <c r="O115" s="135" t="n">
        <f aca="false">IF(M115=1,1,0)</f>
        <v>0</v>
      </c>
      <c r="P115" s="136" t="n">
        <f aca="false">IF(M115=2,1,0)</f>
        <v>0</v>
      </c>
      <c r="Q115" s="136" t="n">
        <f aca="false">IF(M115=3,1,0)</f>
        <v>1</v>
      </c>
      <c r="R115" s="137" t="n">
        <f aca="false">IF(M115=4,1,0)</f>
        <v>0</v>
      </c>
      <c r="S115" s="152"/>
      <c r="T115" s="149"/>
      <c r="U115" s="56"/>
    </row>
    <row r="116" customFormat="false" ht="20.1" hidden="true" customHeight="true" outlineLevel="1" collapsed="false">
      <c r="B116" s="56"/>
      <c r="C116" s="149"/>
      <c r="D116" s="149"/>
      <c r="E116" s="149"/>
      <c r="F116" s="155"/>
      <c r="G116" s="155"/>
      <c r="H116" s="149"/>
      <c r="I116" s="170" t="s">
        <v>94</v>
      </c>
      <c r="J116" s="141" t="n">
        <f aca="false">MAX(J112:J115)</f>
        <v>96</v>
      </c>
      <c r="K116" s="157"/>
      <c r="L116" s="152"/>
      <c r="M116" s="149"/>
      <c r="N116" s="144" t="s">
        <v>95</v>
      </c>
      <c r="O116" s="145" t="n">
        <f aca="false">SUM(O112:O115)</f>
        <v>1</v>
      </c>
      <c r="P116" s="146" t="n">
        <f aca="false">SUM(P112:P115)</f>
        <v>1</v>
      </c>
      <c r="Q116" s="145" t="n">
        <f aca="false">SUM(Q112:Q115)</f>
        <v>1</v>
      </c>
      <c r="R116" s="158" t="n">
        <f aca="false">SUM(R112:R115)</f>
        <v>1</v>
      </c>
      <c r="S116" s="159"/>
      <c r="T116" s="149"/>
      <c r="U116" s="56"/>
    </row>
    <row r="117" customFormat="false" ht="20.1" hidden="false" customHeight="true" outlineLevel="0" collapsed="false">
      <c r="B117" s="56"/>
      <c r="C117" s="149"/>
      <c r="D117" s="149"/>
      <c r="E117" s="149"/>
      <c r="F117" s="149"/>
      <c r="G117" s="149"/>
      <c r="H117" s="149"/>
      <c r="I117" s="149"/>
      <c r="J117" s="149"/>
      <c r="K117" s="149"/>
      <c r="L117" s="149"/>
      <c r="M117" s="149"/>
      <c r="N117" s="149"/>
      <c r="O117" s="149"/>
      <c r="P117" s="149"/>
      <c r="Q117" s="149"/>
      <c r="R117" s="149"/>
      <c r="S117" s="149"/>
      <c r="T117" s="149"/>
      <c r="U117" s="56"/>
    </row>
    <row r="118" customFormat="false" ht="20.1" hidden="false" customHeight="true" outlineLevel="0" collapsed="false">
      <c r="B118" s="56"/>
      <c r="D118" s="45"/>
      <c r="E118" s="45"/>
      <c r="F118" s="45"/>
      <c r="G118" s="45"/>
      <c r="H118" s="160"/>
      <c r="I118" s="45"/>
      <c r="J118" s="45"/>
      <c r="U118" s="56"/>
    </row>
    <row r="119" customFormat="false" ht="20.1" hidden="false" customHeight="true" outlineLevel="0" collapsed="false">
      <c r="B119" s="56"/>
      <c r="C119" s="161"/>
      <c r="D119" s="161"/>
      <c r="E119" s="162" t="str">
        <f aca="false">IF(OR(L97="-",L97= ""),H97,L97)</f>
        <v>Zug um Zug</v>
      </c>
      <c r="F119" s="162"/>
      <c r="G119" s="162"/>
      <c r="H119" s="162"/>
      <c r="I119" s="162"/>
      <c r="J119" s="162"/>
      <c r="K119" s="162"/>
      <c r="L119" s="162"/>
      <c r="M119" s="162"/>
      <c r="N119" s="162"/>
      <c r="O119" s="163"/>
      <c r="P119" s="163"/>
      <c r="Q119" s="163"/>
      <c r="R119" s="163"/>
      <c r="S119" s="163"/>
      <c r="T119" s="161"/>
      <c r="U119" s="164"/>
    </row>
    <row r="120" customFormat="false" ht="50.1" hidden="false" customHeight="true" outlineLevel="0" collapsed="false">
      <c r="B120" s="56"/>
      <c r="C120" s="161"/>
      <c r="D120" s="163"/>
      <c r="E120" s="59" t="s">
        <v>48</v>
      </c>
      <c r="F120" s="109" t="s">
        <v>80</v>
      </c>
      <c r="G120" s="61" t="s">
        <v>81</v>
      </c>
      <c r="H120" s="60" t="s">
        <v>82</v>
      </c>
      <c r="I120" s="6" t="s">
        <v>83</v>
      </c>
      <c r="J120" s="60" t="s">
        <v>84</v>
      </c>
      <c r="K120" s="110" t="s">
        <v>85</v>
      </c>
      <c r="L120" s="60" t="s">
        <v>86</v>
      </c>
      <c r="M120" s="111" t="s">
        <v>87</v>
      </c>
      <c r="N120" s="61" t="s">
        <v>88</v>
      </c>
      <c r="O120" s="112" t="s">
        <v>89</v>
      </c>
      <c r="P120" s="113" t="s">
        <v>90</v>
      </c>
      <c r="Q120" s="113" t="s">
        <v>91</v>
      </c>
      <c r="R120" s="12" t="s">
        <v>92</v>
      </c>
      <c r="S120" s="163"/>
      <c r="T120" s="161"/>
      <c r="U120" s="164"/>
    </row>
    <row r="121" customFormat="false" ht="20.1" hidden="false" customHeight="true" outlineLevel="0" collapsed="false">
      <c r="B121" s="56"/>
      <c r="C121" s="161"/>
      <c r="D121" s="167"/>
      <c r="E121" s="67" t="s">
        <v>22</v>
      </c>
      <c r="F121" s="14" t="s">
        <v>23</v>
      </c>
      <c r="G121" s="258" t="n">
        <v>4</v>
      </c>
      <c r="H121" s="258" t="s">
        <v>62</v>
      </c>
      <c r="I121" s="258" t="n">
        <v>0</v>
      </c>
      <c r="J121" s="258" t="n">
        <v>131</v>
      </c>
      <c r="K121" s="258" t="s">
        <v>62</v>
      </c>
      <c r="L121" s="259" t="n">
        <f aca="false">IF(J121="",0,(J121/J125)*100)</f>
        <v>92.9078014184397</v>
      </c>
      <c r="M121" s="258" t="n">
        <v>3</v>
      </c>
      <c r="N121" s="260" t="n">
        <v>1</v>
      </c>
      <c r="O121" s="116" t="n">
        <f aca="false">IF(M121=1,1,0)</f>
        <v>0</v>
      </c>
      <c r="P121" s="117" t="n">
        <f aca="false">IF(M121=2,1,0)</f>
        <v>0</v>
      </c>
      <c r="Q121" s="117" t="n">
        <f aca="false">IF(M121=3,1,0)</f>
        <v>1</v>
      </c>
      <c r="R121" s="118" t="n">
        <f aca="false">IF(M121=4,1,0)</f>
        <v>0</v>
      </c>
      <c r="S121" s="166"/>
      <c r="T121" s="161"/>
      <c r="U121" s="56"/>
    </row>
    <row r="122" customFormat="false" ht="20.1" hidden="false" customHeight="true" outlineLevel="0" collapsed="false">
      <c r="B122" s="56"/>
      <c r="C122" s="161"/>
      <c r="D122" s="161"/>
      <c r="E122" s="77" t="s">
        <v>24</v>
      </c>
      <c r="F122" s="29" t="s">
        <v>25</v>
      </c>
      <c r="G122" s="248" t="n">
        <v>1</v>
      </c>
      <c r="H122" s="248" t="s">
        <v>62</v>
      </c>
      <c r="I122" s="248" t="n">
        <v>0</v>
      </c>
      <c r="J122" s="248" t="n">
        <v>82</v>
      </c>
      <c r="K122" s="249" t="s">
        <v>62</v>
      </c>
      <c r="L122" s="250" t="n">
        <f aca="false">IF(J122="",0,(J122/J125)*100)</f>
        <v>58.1560283687943</v>
      </c>
      <c r="M122" s="248" t="n">
        <v>4</v>
      </c>
      <c r="N122" s="251" t="n">
        <v>0</v>
      </c>
      <c r="O122" s="123" t="n">
        <f aca="false">IF(M122=1,1,0)</f>
        <v>0</v>
      </c>
      <c r="P122" s="124" t="n">
        <f aca="false">IF(M122=2,1,0)</f>
        <v>0</v>
      </c>
      <c r="Q122" s="124" t="n">
        <f aca="false">IF(M122=3,1,0)</f>
        <v>0</v>
      </c>
      <c r="R122" s="125" t="n">
        <f aca="false">IF(M122=4,1,0)</f>
        <v>1</v>
      </c>
      <c r="S122" s="166"/>
      <c r="T122" s="161"/>
      <c r="U122" s="168"/>
    </row>
    <row r="123" customFormat="false" ht="20.1" hidden="false" customHeight="true" outlineLevel="0" collapsed="false">
      <c r="B123" s="56"/>
      <c r="C123" s="161"/>
      <c r="D123" s="161"/>
      <c r="E123" s="126" t="s">
        <v>26</v>
      </c>
      <c r="F123" s="127" t="s">
        <v>27</v>
      </c>
      <c r="G123" s="128" t="n">
        <v>3</v>
      </c>
      <c r="H123" s="128" t="s">
        <v>62</v>
      </c>
      <c r="I123" s="128" t="n">
        <v>0</v>
      </c>
      <c r="J123" s="128" t="n">
        <v>141</v>
      </c>
      <c r="K123" s="128" t="s">
        <v>62</v>
      </c>
      <c r="L123" s="129" t="n">
        <f aca="false">IF(J123="",0,(J123/J125)*100)</f>
        <v>100</v>
      </c>
      <c r="M123" s="128" t="n">
        <v>1</v>
      </c>
      <c r="N123" s="130" t="n">
        <v>6</v>
      </c>
      <c r="O123" s="123" t="n">
        <f aca="false">IF(M123=1,1,0)</f>
        <v>1</v>
      </c>
      <c r="P123" s="124" t="n">
        <f aca="false">IF(M123=2,1,0)</f>
        <v>0</v>
      </c>
      <c r="Q123" s="124" t="n">
        <f aca="false">IF(M123=3,1,0)</f>
        <v>0</v>
      </c>
      <c r="R123" s="125" t="n">
        <f aca="false">IF(M123=4,1,0)</f>
        <v>0</v>
      </c>
      <c r="S123" s="166"/>
      <c r="T123" s="161"/>
      <c r="U123" s="168"/>
    </row>
    <row r="124" customFormat="false" ht="20.1" hidden="false" customHeight="true" outlineLevel="0" collapsed="false">
      <c r="B124" s="56"/>
      <c r="C124" s="161"/>
      <c r="D124" s="161"/>
      <c r="E124" s="252" t="s">
        <v>28</v>
      </c>
      <c r="F124" s="39" t="s">
        <v>29</v>
      </c>
      <c r="G124" s="253" t="n">
        <v>2</v>
      </c>
      <c r="H124" s="254" t="s">
        <v>62</v>
      </c>
      <c r="I124" s="253" t="n">
        <v>0</v>
      </c>
      <c r="J124" s="253" t="n">
        <v>138</v>
      </c>
      <c r="K124" s="254" t="s">
        <v>62</v>
      </c>
      <c r="L124" s="255" t="n">
        <f aca="false">IF(J124="",0,(J124/J125)*100)</f>
        <v>97.8723404255319</v>
      </c>
      <c r="M124" s="253" t="n">
        <v>2</v>
      </c>
      <c r="N124" s="256" t="n">
        <v>3</v>
      </c>
      <c r="O124" s="135" t="n">
        <f aca="false">IF(M124=1,1,0)</f>
        <v>0</v>
      </c>
      <c r="P124" s="136" t="n">
        <f aca="false">IF(M124=2,1,0)</f>
        <v>1</v>
      </c>
      <c r="Q124" s="136" t="n">
        <f aca="false">IF(M124=3,1,0)</f>
        <v>0</v>
      </c>
      <c r="R124" s="137" t="n">
        <f aca="false">IF(M124=4,1,0)</f>
        <v>0</v>
      </c>
      <c r="S124" s="166"/>
      <c r="T124" s="161"/>
      <c r="U124" s="168"/>
    </row>
    <row r="125" customFormat="false" ht="20.1" hidden="true" customHeight="true" outlineLevel="1" collapsed="false">
      <c r="B125" s="56"/>
      <c r="C125" s="161"/>
      <c r="D125" s="161"/>
      <c r="E125" s="161"/>
      <c r="F125" s="169"/>
      <c r="G125" s="169"/>
      <c r="H125" s="161"/>
      <c r="I125" s="170" t="s">
        <v>94</v>
      </c>
      <c r="J125" s="141" t="n">
        <f aca="false">MAX(J121:J124)</f>
        <v>141</v>
      </c>
      <c r="K125" s="171"/>
      <c r="L125" s="166"/>
      <c r="M125" s="161"/>
      <c r="N125" s="144" t="s">
        <v>95</v>
      </c>
      <c r="O125" s="145" t="n">
        <f aca="false">SUM(O121:O124)</f>
        <v>1</v>
      </c>
      <c r="P125" s="146" t="n">
        <f aca="false">SUM(P121:P124)</f>
        <v>1</v>
      </c>
      <c r="Q125" s="145" t="n">
        <f aca="false">SUM(Q121:Q124)</f>
        <v>1</v>
      </c>
      <c r="R125" s="158" t="n">
        <f aca="false">SUM(R121:R124)</f>
        <v>1</v>
      </c>
      <c r="S125" s="172"/>
      <c r="T125" s="161"/>
      <c r="U125" s="168"/>
    </row>
    <row r="126" customFormat="false" ht="20.1" hidden="false" customHeight="true" outlineLevel="0" collapsed="false">
      <c r="B126" s="56"/>
      <c r="C126" s="161"/>
      <c r="D126" s="161"/>
      <c r="E126" s="161"/>
      <c r="F126" s="161"/>
      <c r="G126" s="161"/>
      <c r="H126" s="161"/>
      <c r="I126" s="161"/>
      <c r="J126" s="161"/>
      <c r="K126" s="161"/>
      <c r="L126" s="161"/>
      <c r="M126" s="161"/>
      <c r="N126" s="161"/>
      <c r="O126" s="161"/>
      <c r="P126" s="161"/>
      <c r="Q126" s="161"/>
      <c r="R126" s="161"/>
      <c r="S126" s="161"/>
      <c r="T126" s="161"/>
      <c r="U126" s="168"/>
    </row>
    <row r="127" customFormat="false" ht="20.1" hidden="false" customHeight="true" outlineLevel="0" collapsed="false">
      <c r="B127" s="56"/>
      <c r="D127" s="45"/>
      <c r="E127" s="45"/>
      <c r="F127" s="45"/>
      <c r="G127" s="45"/>
      <c r="H127" s="160"/>
      <c r="I127" s="45"/>
      <c r="J127" s="45"/>
      <c r="K127" s="45"/>
      <c r="U127" s="56"/>
    </row>
    <row r="128" customFormat="false" ht="20.1" hidden="false" customHeight="true" outlineLevel="0" collapsed="false">
      <c r="B128" s="56"/>
      <c r="C128" s="173"/>
      <c r="D128" s="173"/>
      <c r="E128" s="174" t="str">
        <f aca="false">IF(OR(L98="-",L98= ""),H98,L98)</f>
        <v>Mascarade</v>
      </c>
      <c r="F128" s="174"/>
      <c r="G128" s="174"/>
      <c r="H128" s="174"/>
      <c r="I128" s="174"/>
      <c r="J128" s="174"/>
      <c r="K128" s="174"/>
      <c r="L128" s="174"/>
      <c r="M128" s="174"/>
      <c r="N128" s="174"/>
      <c r="O128" s="175"/>
      <c r="P128" s="175"/>
      <c r="Q128" s="175"/>
      <c r="R128" s="175"/>
      <c r="S128" s="175"/>
      <c r="T128" s="173"/>
      <c r="U128" s="56"/>
    </row>
    <row r="129" customFormat="false" ht="50.1" hidden="false" customHeight="true" outlineLevel="0" collapsed="false">
      <c r="B129" s="56"/>
      <c r="C129" s="173"/>
      <c r="D129" s="175"/>
      <c r="E129" s="59" t="s">
        <v>48</v>
      </c>
      <c r="F129" s="109" t="s">
        <v>80</v>
      </c>
      <c r="G129" s="61" t="s">
        <v>81</v>
      </c>
      <c r="H129" s="60" t="s">
        <v>82</v>
      </c>
      <c r="I129" s="6" t="s">
        <v>83</v>
      </c>
      <c r="J129" s="60" t="s">
        <v>84</v>
      </c>
      <c r="K129" s="110" t="s">
        <v>85</v>
      </c>
      <c r="L129" s="60" t="s">
        <v>86</v>
      </c>
      <c r="M129" s="111" t="s">
        <v>87</v>
      </c>
      <c r="N129" s="61" t="s">
        <v>88</v>
      </c>
      <c r="O129" s="112" t="s">
        <v>89</v>
      </c>
      <c r="P129" s="113" t="s">
        <v>90</v>
      </c>
      <c r="Q129" s="113" t="s">
        <v>91</v>
      </c>
      <c r="R129" s="12" t="s">
        <v>92</v>
      </c>
      <c r="S129" s="175"/>
      <c r="T129" s="173"/>
      <c r="U129" s="56"/>
    </row>
    <row r="130" customFormat="false" ht="20.1" hidden="false" customHeight="true" outlineLevel="0" collapsed="false">
      <c r="B130" s="56"/>
      <c r="C130" s="173"/>
      <c r="D130" s="173"/>
      <c r="E130" s="67" t="s">
        <v>22</v>
      </c>
      <c r="F130" s="14" t="s">
        <v>23</v>
      </c>
      <c r="G130" s="258" t="n">
        <v>4</v>
      </c>
      <c r="H130" s="258" t="s">
        <v>62</v>
      </c>
      <c r="I130" s="258" t="n">
        <v>6</v>
      </c>
      <c r="J130" s="258" t="n">
        <v>5</v>
      </c>
      <c r="K130" s="258" t="s">
        <v>62</v>
      </c>
      <c r="L130" s="259" t="n">
        <f aca="false">IF(J130="",0,(J130/J134)*100)</f>
        <v>38.4615384615385</v>
      </c>
      <c r="M130" s="258" t="n">
        <v>4</v>
      </c>
      <c r="N130" s="260" t="n">
        <v>0</v>
      </c>
      <c r="O130" s="116" t="n">
        <f aca="false">IF(M130=1,1,0)</f>
        <v>0</v>
      </c>
      <c r="P130" s="117" t="n">
        <f aca="false">IF(M130=2,1,0)</f>
        <v>0</v>
      </c>
      <c r="Q130" s="117" t="n">
        <f aca="false">IF(M130=3,1,0)</f>
        <v>0</v>
      </c>
      <c r="R130" s="118" t="n">
        <f aca="false">IF(M130=4,1,0)</f>
        <v>1</v>
      </c>
      <c r="S130" s="176"/>
      <c r="T130" s="173"/>
      <c r="U130" s="56"/>
    </row>
    <row r="131" customFormat="false" ht="20.1" hidden="false" customHeight="true" outlineLevel="0" collapsed="false">
      <c r="B131" s="56"/>
      <c r="C131" s="173"/>
      <c r="D131" s="173"/>
      <c r="E131" s="77" t="s">
        <v>24</v>
      </c>
      <c r="F131" s="29" t="s">
        <v>25</v>
      </c>
      <c r="G131" s="248" t="n">
        <v>3</v>
      </c>
      <c r="H131" s="248" t="s">
        <v>62</v>
      </c>
      <c r="I131" s="248" t="n">
        <v>6</v>
      </c>
      <c r="J131" s="248" t="n">
        <v>8</v>
      </c>
      <c r="K131" s="249" t="s">
        <v>62</v>
      </c>
      <c r="L131" s="250" t="n">
        <f aca="false">IF(J131="",0,(J131/J134)*100)</f>
        <v>61.5384615384615</v>
      </c>
      <c r="M131" s="248" t="n">
        <v>3</v>
      </c>
      <c r="N131" s="251" t="n">
        <v>1</v>
      </c>
      <c r="O131" s="123" t="n">
        <f aca="false">IF(M131=1,1,0)</f>
        <v>0</v>
      </c>
      <c r="P131" s="124" t="n">
        <f aca="false">IF(M131=2,1,0)</f>
        <v>0</v>
      </c>
      <c r="Q131" s="124" t="n">
        <f aca="false">IF(M131=3,1,0)</f>
        <v>1</v>
      </c>
      <c r="R131" s="125" t="n">
        <f aca="false">IF(M131=4,1,0)</f>
        <v>0</v>
      </c>
      <c r="S131" s="176"/>
      <c r="T131" s="173"/>
      <c r="U131" s="56"/>
    </row>
    <row r="132" customFormat="false" ht="20.1" hidden="false" customHeight="true" outlineLevel="0" collapsed="false">
      <c r="B132" s="56"/>
      <c r="C132" s="173"/>
      <c r="D132" s="173"/>
      <c r="E132" s="77" t="s">
        <v>26</v>
      </c>
      <c r="F132" s="29" t="s">
        <v>27</v>
      </c>
      <c r="G132" s="248" t="n">
        <v>2</v>
      </c>
      <c r="H132" s="248" t="s">
        <v>62</v>
      </c>
      <c r="I132" s="248" t="n">
        <v>6</v>
      </c>
      <c r="J132" s="248" t="n">
        <v>9</v>
      </c>
      <c r="K132" s="248" t="s">
        <v>62</v>
      </c>
      <c r="L132" s="250" t="n">
        <f aca="false">IF(J132="",0,(J132/J134)*100)</f>
        <v>69.2307692307692</v>
      </c>
      <c r="M132" s="248" t="n">
        <v>2</v>
      </c>
      <c r="N132" s="251" t="n">
        <v>3</v>
      </c>
      <c r="O132" s="123" t="n">
        <f aca="false">IF(M132=1,1,0)</f>
        <v>0</v>
      </c>
      <c r="P132" s="124" t="n">
        <f aca="false">IF(M132=2,1,0)</f>
        <v>1</v>
      </c>
      <c r="Q132" s="124" t="n">
        <f aca="false">IF(M132=3,1,0)</f>
        <v>0</v>
      </c>
      <c r="R132" s="125" t="n">
        <f aca="false">IF(M132=4,1,0)</f>
        <v>0</v>
      </c>
      <c r="S132" s="176"/>
      <c r="T132" s="173"/>
      <c r="U132" s="56"/>
    </row>
    <row r="133" customFormat="false" ht="20.1" hidden="false" customHeight="true" outlineLevel="0" collapsed="false">
      <c r="B133" s="56"/>
      <c r="C133" s="173"/>
      <c r="D133" s="177"/>
      <c r="E133" s="261" t="s">
        <v>28</v>
      </c>
      <c r="F133" s="262" t="s">
        <v>29</v>
      </c>
      <c r="G133" s="263" t="n">
        <v>1</v>
      </c>
      <c r="H133" s="264" t="s">
        <v>62</v>
      </c>
      <c r="I133" s="263" t="n">
        <v>6</v>
      </c>
      <c r="J133" s="263" t="n">
        <v>13</v>
      </c>
      <c r="K133" s="264" t="s">
        <v>62</v>
      </c>
      <c r="L133" s="265" t="n">
        <f aca="false">IF(J133="",0,(J133/J134)*100)</f>
        <v>100</v>
      </c>
      <c r="M133" s="263" t="n">
        <v>1</v>
      </c>
      <c r="N133" s="266" t="n">
        <v>6</v>
      </c>
      <c r="O133" s="135" t="n">
        <f aca="false">IF(M133=1,1,0)</f>
        <v>1</v>
      </c>
      <c r="P133" s="136" t="n">
        <f aca="false">IF(M133=2,1,0)</f>
        <v>0</v>
      </c>
      <c r="Q133" s="136" t="n">
        <f aca="false">IF(M133=3,1,0)</f>
        <v>0</v>
      </c>
      <c r="R133" s="137" t="n">
        <f aca="false">IF(M133=4,1,0)</f>
        <v>0</v>
      </c>
      <c r="S133" s="176"/>
      <c r="T133" s="173"/>
      <c r="U133" s="56"/>
    </row>
    <row r="134" customFormat="false" ht="20.1" hidden="true" customHeight="true" outlineLevel="1" collapsed="false">
      <c r="B134" s="56"/>
      <c r="C134" s="173"/>
      <c r="D134" s="173"/>
      <c r="E134" s="173"/>
      <c r="F134" s="178"/>
      <c r="G134" s="178"/>
      <c r="H134" s="173"/>
      <c r="I134" s="170" t="s">
        <v>94</v>
      </c>
      <c r="J134" s="141" t="n">
        <f aca="false">MAX(J130:J133)</f>
        <v>13</v>
      </c>
      <c r="K134" s="179"/>
      <c r="L134" s="176"/>
      <c r="M134" s="173"/>
      <c r="N134" s="144" t="s">
        <v>95</v>
      </c>
      <c r="O134" s="145" t="n">
        <f aca="false">SUM(O130:O133)</f>
        <v>1</v>
      </c>
      <c r="P134" s="146" t="n">
        <f aca="false">SUM(P130:P133)</f>
        <v>1</v>
      </c>
      <c r="Q134" s="145" t="n">
        <f aca="false">SUM(Q130:Q133)</f>
        <v>1</v>
      </c>
      <c r="R134" s="158" t="n">
        <f aca="false">SUM(R130:R133)</f>
        <v>1</v>
      </c>
      <c r="S134" s="180"/>
      <c r="T134" s="173"/>
      <c r="U134" s="56"/>
    </row>
    <row r="135" customFormat="false" ht="20.1" hidden="false" customHeight="true" outlineLevel="0" collapsed="false">
      <c r="B135" s="56"/>
      <c r="C135" s="173"/>
      <c r="D135" s="173"/>
      <c r="E135" s="173"/>
      <c r="F135" s="173"/>
      <c r="G135" s="173"/>
      <c r="H135" s="173"/>
      <c r="I135" s="173"/>
      <c r="J135" s="173"/>
      <c r="K135" s="173"/>
      <c r="L135" s="173"/>
      <c r="M135" s="173"/>
      <c r="N135" s="173"/>
      <c r="O135" s="173"/>
      <c r="P135" s="173"/>
      <c r="Q135" s="173"/>
      <c r="R135" s="173"/>
      <c r="S135" s="173"/>
      <c r="T135" s="173"/>
      <c r="U135" s="56"/>
    </row>
    <row r="136" customFormat="false" ht="20.1" hidden="false" customHeight="true" outlineLevel="0" collapsed="false">
      <c r="B136" s="56"/>
      <c r="D136" s="5"/>
      <c r="E136" s="5"/>
      <c r="F136" s="5"/>
      <c r="G136" s="5"/>
      <c r="H136" s="5"/>
      <c r="I136" s="5"/>
      <c r="J136" s="5"/>
      <c r="U136" s="56"/>
    </row>
    <row r="137" customFormat="false" ht="30" hidden="false" customHeight="true" outlineLevel="0" collapsed="false">
      <c r="B137" s="56"/>
      <c r="C137" s="181"/>
      <c r="D137" s="182" t="s">
        <v>133</v>
      </c>
      <c r="E137" s="182"/>
      <c r="F137" s="182"/>
      <c r="G137" s="182"/>
      <c r="H137" s="182"/>
      <c r="I137" s="182"/>
      <c r="J137" s="182"/>
      <c r="K137" s="182"/>
      <c r="L137" s="182"/>
      <c r="M137" s="182"/>
      <c r="N137" s="182"/>
      <c r="O137" s="182"/>
      <c r="P137" s="182"/>
      <c r="Q137" s="182"/>
      <c r="R137" s="182"/>
      <c r="S137" s="182"/>
      <c r="T137" s="181"/>
      <c r="U137" s="56"/>
    </row>
    <row r="138" customFormat="false" ht="50.1" hidden="false" customHeight="true" outlineLevel="0" collapsed="false">
      <c r="B138" s="56"/>
      <c r="C138" s="181"/>
      <c r="D138" s="183" t="s">
        <v>48</v>
      </c>
      <c r="E138" s="184" t="s">
        <v>49</v>
      </c>
      <c r="F138" s="185" t="s">
        <v>88</v>
      </c>
      <c r="G138" s="186" t="s">
        <v>101</v>
      </c>
      <c r="H138" s="187" t="s">
        <v>102</v>
      </c>
      <c r="I138" s="187"/>
      <c r="J138" s="188" t="s">
        <v>103</v>
      </c>
      <c r="K138" s="189" t="s">
        <v>104</v>
      </c>
      <c r="L138" s="185" t="s">
        <v>105</v>
      </c>
      <c r="M138" s="189" t="s">
        <v>106</v>
      </c>
      <c r="N138" s="185" t="s">
        <v>107</v>
      </c>
      <c r="O138" s="190"/>
      <c r="P138" s="191"/>
      <c r="Q138" s="191"/>
      <c r="R138" s="191"/>
      <c r="S138" s="184" t="s">
        <v>108</v>
      </c>
      <c r="T138" s="181"/>
      <c r="U138" s="56"/>
    </row>
    <row r="139" customFormat="false" ht="20.1" hidden="false" customHeight="true" outlineLevel="0" collapsed="false">
      <c r="B139" s="56"/>
      <c r="C139" s="181"/>
      <c r="D139" s="267" t="s">
        <v>22</v>
      </c>
      <c r="E139" s="268" t="s">
        <v>23</v>
      </c>
      <c r="F139" s="269" t="n">
        <f aca="false">K139*6+L139*3+M139*1+N139*0</f>
        <v>13</v>
      </c>
      <c r="G139" s="270" t="n">
        <v>0</v>
      </c>
      <c r="H139" s="270" t="s">
        <v>62</v>
      </c>
      <c r="I139" s="270"/>
      <c r="J139" s="269" t="n">
        <f aca="false">F139+G139</f>
        <v>13</v>
      </c>
      <c r="K139" s="269" t="n">
        <v>2</v>
      </c>
      <c r="L139" s="269" t="n">
        <v>0</v>
      </c>
      <c r="M139" s="269" t="n">
        <v>1</v>
      </c>
      <c r="N139" s="269" t="n">
        <v>1</v>
      </c>
      <c r="O139" s="271"/>
      <c r="P139" s="270"/>
      <c r="Q139" s="270"/>
      <c r="R139" s="270"/>
      <c r="S139" s="272" t="n">
        <f aca="false">(L103++L112+L121+L130)/4</f>
        <v>82.8423349699945</v>
      </c>
      <c r="T139" s="181"/>
      <c r="U139" s="56"/>
    </row>
    <row r="140" customFormat="false" ht="20.1" hidden="false" customHeight="true" outlineLevel="0" collapsed="false">
      <c r="B140" s="56"/>
      <c r="C140" s="181"/>
      <c r="D140" s="273" t="s">
        <v>28</v>
      </c>
      <c r="E140" s="274" t="s">
        <v>29</v>
      </c>
      <c r="F140" s="275" t="n">
        <f aca="false">K140*6+L140*3+M140*1+N140*0</f>
        <v>13</v>
      </c>
      <c r="G140" s="276" t="n">
        <v>0</v>
      </c>
      <c r="H140" s="276" t="s">
        <v>62</v>
      </c>
      <c r="I140" s="276"/>
      <c r="J140" s="275" t="n">
        <f aca="false">F140+G140</f>
        <v>13</v>
      </c>
      <c r="K140" s="275" t="n">
        <v>1</v>
      </c>
      <c r="L140" s="275" t="n">
        <v>2</v>
      </c>
      <c r="M140" s="275" t="n">
        <v>1</v>
      </c>
      <c r="N140" s="275" t="n">
        <v>0</v>
      </c>
      <c r="O140" s="277"/>
      <c r="P140" s="276"/>
      <c r="Q140" s="276"/>
      <c r="R140" s="276"/>
      <c r="S140" s="278" t="n">
        <f aca="false">(L106+L115+L124+L133)/4</f>
        <v>74.8516775777414</v>
      </c>
      <c r="T140" s="181"/>
      <c r="U140" s="56"/>
      <c r="Y140" s="279"/>
      <c r="Z140" s="279"/>
      <c r="AA140" s="280"/>
      <c r="AB140" s="280"/>
      <c r="AC140" s="281"/>
      <c r="AD140" s="281"/>
      <c r="AE140" s="281"/>
    </row>
    <row r="141" customFormat="false" ht="20.1" hidden="false" customHeight="true" outlineLevel="0" collapsed="false">
      <c r="B141" s="56"/>
      <c r="C141" s="181"/>
      <c r="D141" s="273" t="s">
        <v>26</v>
      </c>
      <c r="E141" s="274" t="s">
        <v>27</v>
      </c>
      <c r="F141" s="275" t="n">
        <f aca="false">K141*6+L141*3+M141*1+N141*0</f>
        <v>10</v>
      </c>
      <c r="G141" s="276" t="n">
        <v>0</v>
      </c>
      <c r="H141" s="276" t="s">
        <v>62</v>
      </c>
      <c r="I141" s="276"/>
      <c r="J141" s="275" t="n">
        <f aca="false">F141+G141</f>
        <v>10</v>
      </c>
      <c r="K141" s="275" t="n">
        <v>1</v>
      </c>
      <c r="L141" s="275" t="n">
        <v>1</v>
      </c>
      <c r="M141" s="275" t="n">
        <v>1</v>
      </c>
      <c r="N141" s="275" t="n">
        <v>1</v>
      </c>
      <c r="O141" s="277"/>
      <c r="P141" s="276"/>
      <c r="Q141" s="276"/>
      <c r="R141" s="276"/>
      <c r="S141" s="278" t="n">
        <f aca="false">(L105+L114+L123+L132)/4</f>
        <v>60.8205753318785</v>
      </c>
      <c r="T141" s="181"/>
      <c r="U141" s="56"/>
    </row>
    <row r="142" customFormat="false" ht="20.1" hidden="false" customHeight="true" outlineLevel="0" collapsed="false">
      <c r="B142" s="56"/>
      <c r="C142" s="181"/>
      <c r="D142" s="282" t="s">
        <v>24</v>
      </c>
      <c r="E142" s="283" t="s">
        <v>25</v>
      </c>
      <c r="F142" s="284" t="n">
        <f aca="false">K142*6+L142*3+M142*1+N142*0</f>
        <v>4</v>
      </c>
      <c r="G142" s="285" t="n">
        <v>0</v>
      </c>
      <c r="H142" s="285" t="s">
        <v>62</v>
      </c>
      <c r="I142" s="285"/>
      <c r="J142" s="284" t="n">
        <f aca="false">F142+G142</f>
        <v>4</v>
      </c>
      <c r="K142" s="284" t="n">
        <v>0</v>
      </c>
      <c r="L142" s="284" t="n">
        <v>1</v>
      </c>
      <c r="M142" s="284" t="n">
        <v>1</v>
      </c>
      <c r="N142" s="284" t="n">
        <v>2</v>
      </c>
      <c r="O142" s="286"/>
      <c r="P142" s="285"/>
      <c r="Q142" s="285"/>
      <c r="R142" s="285"/>
      <c r="S142" s="287" t="n">
        <f aca="false">(L104+L113+L122+L131)/4</f>
        <v>60.4577252682306</v>
      </c>
      <c r="T142" s="181"/>
      <c r="U142" s="56"/>
    </row>
    <row r="143" customFormat="false" ht="20.1" hidden="false" customHeight="true" outlineLevel="0" collapsed="false">
      <c r="B143" s="56"/>
      <c r="C143" s="181"/>
      <c r="D143" s="209"/>
      <c r="E143" s="209"/>
      <c r="F143" s="288"/>
      <c r="G143" s="289"/>
      <c r="H143" s="290"/>
      <c r="I143" s="290"/>
      <c r="J143" s="288"/>
      <c r="K143" s="288"/>
      <c r="L143" s="288"/>
      <c r="M143" s="288"/>
      <c r="N143" s="288"/>
      <c r="O143" s="291"/>
      <c r="P143" s="289"/>
      <c r="Q143" s="289"/>
      <c r="R143" s="289"/>
      <c r="S143" s="292"/>
      <c r="T143" s="181"/>
      <c r="U143" s="56"/>
    </row>
    <row r="144" customFormat="false" ht="20.1" hidden="false" customHeight="true" outlineLevel="0" collapsed="false">
      <c r="B144" s="56"/>
      <c r="C144" s="56"/>
      <c r="D144" s="213"/>
      <c r="E144" s="213"/>
      <c r="F144" s="164"/>
      <c r="G144" s="164"/>
      <c r="H144" s="213"/>
      <c r="I144" s="213"/>
      <c r="J144" s="213"/>
      <c r="K144" s="56"/>
      <c r="L144" s="56"/>
      <c r="M144" s="56"/>
      <c r="N144" s="56"/>
      <c r="O144" s="56"/>
      <c r="P144" s="56"/>
      <c r="Q144" s="56"/>
      <c r="R144" s="56"/>
      <c r="S144" s="56"/>
      <c r="T144" s="56"/>
      <c r="U144" s="56"/>
    </row>
    <row r="145" customFormat="false" ht="20.1" hidden="false" customHeight="true" outlineLevel="0" collapsed="false"/>
    <row r="146" customFormat="false" ht="20.1" hidden="false" customHeight="true" outlineLevel="0" collapsed="false"/>
    <row r="147" customFormat="false" ht="20.1" hidden="false" customHeight="true" outlineLevel="0" collapsed="false">
      <c r="B147" s="56"/>
      <c r="C147" s="56"/>
      <c r="D147" s="57"/>
      <c r="E147" s="57"/>
      <c r="F147" s="57"/>
      <c r="G147" s="57"/>
      <c r="H147" s="56"/>
      <c r="I147" s="56"/>
      <c r="J147" s="56"/>
      <c r="K147" s="56"/>
      <c r="L147" s="56"/>
      <c r="M147" s="56"/>
      <c r="N147" s="56"/>
      <c r="O147" s="56"/>
      <c r="P147" s="56"/>
      <c r="Q147" s="56"/>
      <c r="R147" s="56"/>
      <c r="S147" s="56"/>
      <c r="T147" s="56"/>
      <c r="U147" s="56"/>
    </row>
    <row r="148" customFormat="false" ht="30" hidden="false" customHeight="true" outlineLevel="0" collapsed="false">
      <c r="B148" s="56"/>
      <c r="C148" s="58" t="s">
        <v>134</v>
      </c>
      <c r="D148" s="58"/>
      <c r="E148" s="58"/>
      <c r="F148" s="58"/>
      <c r="G148" s="58"/>
      <c r="H148" s="58"/>
      <c r="I148" s="58"/>
      <c r="J148" s="58"/>
      <c r="K148" s="58"/>
      <c r="L148" s="58"/>
      <c r="M148" s="58"/>
      <c r="N148" s="58"/>
      <c r="O148" s="58"/>
      <c r="P148" s="58"/>
      <c r="Q148" s="58"/>
      <c r="R148" s="58"/>
      <c r="S148" s="58"/>
      <c r="T148" s="58"/>
      <c r="U148" s="56"/>
    </row>
    <row r="149" customFormat="false" ht="20.1" hidden="false" customHeight="true" outlineLevel="0" collapsed="false">
      <c r="B149" s="56"/>
      <c r="U149" s="56"/>
    </row>
    <row r="150" customFormat="false" ht="20.1" hidden="false" customHeight="true" outlineLevel="0" collapsed="false">
      <c r="B150" s="56"/>
      <c r="D150" s="59" t="s">
        <v>48</v>
      </c>
      <c r="E150" s="60" t="s">
        <v>49</v>
      </c>
      <c r="F150" s="61" t="s">
        <v>10</v>
      </c>
      <c r="G150" s="216" t="s">
        <v>50</v>
      </c>
      <c r="H150" s="216"/>
      <c r="I150" s="216"/>
      <c r="J150" s="216"/>
      <c r="K150" s="60" t="s">
        <v>51</v>
      </c>
      <c r="L150" s="62" t="s">
        <v>52</v>
      </c>
      <c r="M150" s="62"/>
      <c r="N150" s="62"/>
      <c r="O150" s="62"/>
      <c r="P150" s="62"/>
      <c r="Q150" s="62"/>
      <c r="R150" s="62"/>
      <c r="S150" s="62"/>
      <c r="U150" s="56"/>
    </row>
    <row r="151" customFormat="false" ht="20.1" hidden="false" customHeight="true" outlineLevel="0" collapsed="false">
      <c r="B151" s="56"/>
      <c r="D151" s="59"/>
      <c r="E151" s="60"/>
      <c r="F151" s="60"/>
      <c r="G151" s="66" t="s">
        <v>53</v>
      </c>
      <c r="H151" s="65" t="s">
        <v>54</v>
      </c>
      <c r="I151" s="61" t="s">
        <v>55</v>
      </c>
      <c r="J151" s="61"/>
      <c r="K151" s="65" t="s">
        <v>56</v>
      </c>
      <c r="L151" s="217" t="s">
        <v>53</v>
      </c>
      <c r="M151" s="218" t="s">
        <v>57</v>
      </c>
      <c r="N151" s="61" t="s">
        <v>55</v>
      </c>
      <c r="O151" s="61"/>
      <c r="P151" s="61"/>
      <c r="Q151" s="61"/>
      <c r="R151" s="61"/>
      <c r="S151" s="61"/>
      <c r="U151" s="56"/>
    </row>
    <row r="152" customFormat="false" ht="15" hidden="false" customHeight="true" outlineLevel="0" collapsed="false">
      <c r="B152" s="56"/>
      <c r="D152" s="67" t="s">
        <v>30</v>
      </c>
      <c r="E152" s="16" t="s">
        <v>31</v>
      </c>
      <c r="F152" s="20" t="n">
        <v>1</v>
      </c>
      <c r="G152" s="68" t="s">
        <v>58</v>
      </c>
      <c r="H152" s="293" t="s">
        <v>75</v>
      </c>
      <c r="I152" s="70" t="s">
        <v>76</v>
      </c>
      <c r="J152" s="70"/>
      <c r="K152" s="294" t="s">
        <v>135</v>
      </c>
      <c r="L152" s="72" t="s">
        <v>62</v>
      </c>
      <c r="M152" s="73" t="s">
        <v>62</v>
      </c>
      <c r="N152" s="74" t="s">
        <v>62</v>
      </c>
      <c r="O152" s="74"/>
      <c r="P152" s="74"/>
      <c r="Q152" s="74"/>
      <c r="R152" s="74"/>
      <c r="S152" s="74"/>
      <c r="U152" s="56"/>
    </row>
    <row r="153" customFormat="false" ht="27.95" hidden="false" customHeight="true" outlineLevel="0" collapsed="false">
      <c r="B153" s="56"/>
      <c r="D153" s="67"/>
      <c r="E153" s="16"/>
      <c r="F153" s="20"/>
      <c r="G153" s="68"/>
      <c r="H153" s="293"/>
      <c r="I153" s="75" t="s">
        <v>78</v>
      </c>
      <c r="J153" s="75"/>
      <c r="K153" s="294"/>
      <c r="L153" s="72"/>
      <c r="M153" s="73"/>
      <c r="N153" s="74"/>
      <c r="O153" s="74"/>
      <c r="P153" s="74"/>
      <c r="Q153" s="74"/>
      <c r="R153" s="74"/>
      <c r="S153" s="74"/>
      <c r="U153" s="56"/>
    </row>
    <row r="154" customFormat="false" ht="15" hidden="false" customHeight="true" outlineLevel="0" collapsed="false">
      <c r="B154" s="56"/>
      <c r="D154" s="67"/>
      <c r="E154" s="16"/>
      <c r="F154" s="20"/>
      <c r="G154" s="68"/>
      <c r="H154" s="293"/>
      <c r="I154" s="75" t="s">
        <v>79</v>
      </c>
      <c r="J154" s="75"/>
      <c r="K154" s="294"/>
      <c r="L154" s="72"/>
      <c r="M154" s="73"/>
      <c r="N154" s="74"/>
      <c r="O154" s="74"/>
      <c r="P154" s="74"/>
      <c r="Q154" s="74"/>
      <c r="R154" s="74"/>
      <c r="S154" s="74"/>
      <c r="U154" s="56"/>
    </row>
    <row r="155" customFormat="false" ht="27.95" hidden="false" customHeight="true" outlineLevel="0" collapsed="false">
      <c r="B155" s="56"/>
      <c r="D155" s="120" t="s">
        <v>33</v>
      </c>
      <c r="E155" s="29" t="s">
        <v>34</v>
      </c>
      <c r="F155" s="26" t="n">
        <v>2</v>
      </c>
      <c r="G155" s="78" t="s">
        <v>58</v>
      </c>
      <c r="H155" s="79" t="s">
        <v>136</v>
      </c>
      <c r="I155" s="80" t="s">
        <v>137</v>
      </c>
      <c r="J155" s="80"/>
      <c r="K155" s="295" t="s">
        <v>113</v>
      </c>
      <c r="L155" s="296" t="s">
        <v>62</v>
      </c>
      <c r="M155" s="297" t="s">
        <v>62</v>
      </c>
      <c r="N155" s="298" t="s">
        <v>62</v>
      </c>
      <c r="O155" s="298"/>
      <c r="P155" s="298"/>
      <c r="Q155" s="298"/>
      <c r="R155" s="298"/>
      <c r="S155" s="298"/>
      <c r="U155" s="56"/>
    </row>
    <row r="156" customFormat="false" ht="15" hidden="false" customHeight="true" outlineLevel="0" collapsed="false">
      <c r="B156" s="56"/>
      <c r="D156" s="120"/>
      <c r="E156" s="29"/>
      <c r="F156" s="26"/>
      <c r="G156" s="78"/>
      <c r="H156" s="79"/>
      <c r="I156" s="85" t="s">
        <v>138</v>
      </c>
      <c r="J156" s="85"/>
      <c r="K156" s="295"/>
      <c r="L156" s="296"/>
      <c r="M156" s="297"/>
      <c r="N156" s="298"/>
      <c r="O156" s="298"/>
      <c r="P156" s="298"/>
      <c r="Q156" s="298"/>
      <c r="R156" s="298"/>
      <c r="S156" s="298"/>
      <c r="U156" s="56"/>
    </row>
    <row r="157" customFormat="false" ht="15" hidden="false" customHeight="true" outlineLevel="0" collapsed="false">
      <c r="B157" s="56"/>
      <c r="D157" s="120"/>
      <c r="E157" s="29"/>
      <c r="F157" s="26"/>
      <c r="G157" s="78"/>
      <c r="H157" s="79"/>
      <c r="I157" s="85" t="s">
        <v>139</v>
      </c>
      <c r="J157" s="85"/>
      <c r="K157" s="295"/>
      <c r="L157" s="296"/>
      <c r="M157" s="297"/>
      <c r="N157" s="298"/>
      <c r="O157" s="298"/>
      <c r="P157" s="298"/>
      <c r="Q157" s="298"/>
      <c r="R157" s="298"/>
      <c r="S157" s="298"/>
      <c r="U157" s="56"/>
    </row>
    <row r="158" customFormat="false" ht="15" hidden="false" customHeight="true" outlineLevel="0" collapsed="false">
      <c r="B158" s="56"/>
      <c r="D158" s="120"/>
      <c r="E158" s="29"/>
      <c r="F158" s="26"/>
      <c r="G158" s="78"/>
      <c r="H158" s="79"/>
      <c r="I158" s="85" t="s">
        <v>140</v>
      </c>
      <c r="J158" s="85"/>
      <c r="K158" s="295"/>
      <c r="L158" s="296"/>
      <c r="M158" s="297"/>
      <c r="N158" s="298"/>
      <c r="O158" s="298"/>
      <c r="P158" s="298"/>
      <c r="Q158" s="298"/>
      <c r="R158" s="298"/>
      <c r="S158" s="298"/>
      <c r="U158" s="56"/>
    </row>
    <row r="159" customFormat="false" ht="27.95" hidden="false" customHeight="true" outlineLevel="0" collapsed="false">
      <c r="B159" s="56"/>
      <c r="D159" s="77" t="s">
        <v>35</v>
      </c>
      <c r="E159" s="23" t="s">
        <v>36</v>
      </c>
      <c r="F159" s="26" t="n">
        <v>3</v>
      </c>
      <c r="G159" s="230" t="s">
        <v>58</v>
      </c>
      <c r="H159" s="299" t="s">
        <v>59</v>
      </c>
      <c r="I159" s="91" t="s">
        <v>141</v>
      </c>
      <c r="J159" s="91"/>
      <c r="K159" s="300" t="s">
        <v>113</v>
      </c>
      <c r="L159" s="296" t="s">
        <v>62</v>
      </c>
      <c r="M159" s="297" t="s">
        <v>62</v>
      </c>
      <c r="N159" s="298" t="s">
        <v>62</v>
      </c>
      <c r="O159" s="298"/>
      <c r="P159" s="298"/>
      <c r="Q159" s="298"/>
      <c r="R159" s="298"/>
      <c r="S159" s="298"/>
      <c r="U159" s="56"/>
    </row>
    <row r="160" customFormat="false" ht="15" hidden="false" customHeight="true" outlineLevel="0" collapsed="false">
      <c r="B160" s="56"/>
      <c r="D160" s="77"/>
      <c r="E160" s="23"/>
      <c r="F160" s="26"/>
      <c r="G160" s="230"/>
      <c r="H160" s="299"/>
      <c r="I160" s="96" t="s">
        <v>142</v>
      </c>
      <c r="J160" s="96"/>
      <c r="K160" s="300"/>
      <c r="L160" s="296"/>
      <c r="M160" s="297"/>
      <c r="N160" s="298"/>
      <c r="O160" s="298"/>
      <c r="P160" s="298"/>
      <c r="Q160" s="298"/>
      <c r="R160" s="298"/>
      <c r="S160" s="298"/>
      <c r="U160" s="56"/>
    </row>
    <row r="161" customFormat="false" ht="15" hidden="false" customHeight="true" outlineLevel="0" collapsed="false">
      <c r="B161" s="56"/>
      <c r="D161" s="77"/>
      <c r="E161" s="23"/>
      <c r="F161" s="26"/>
      <c r="G161" s="230"/>
      <c r="H161" s="299"/>
      <c r="I161" s="96" t="s">
        <v>64</v>
      </c>
      <c r="J161" s="96"/>
      <c r="K161" s="300"/>
      <c r="L161" s="296"/>
      <c r="M161" s="297"/>
      <c r="N161" s="298"/>
      <c r="O161" s="298"/>
      <c r="P161" s="298"/>
      <c r="Q161" s="298"/>
      <c r="R161" s="298"/>
      <c r="S161" s="298"/>
      <c r="U161" s="56"/>
    </row>
    <row r="162" customFormat="false" ht="15" hidden="false" customHeight="true" outlineLevel="0" collapsed="false">
      <c r="B162" s="56"/>
      <c r="D162" s="236" t="s">
        <v>37</v>
      </c>
      <c r="E162" s="39" t="s">
        <v>38</v>
      </c>
      <c r="F162" s="44" t="n">
        <v>4</v>
      </c>
      <c r="G162" s="237" t="s">
        <v>58</v>
      </c>
      <c r="H162" s="301" t="s">
        <v>135</v>
      </c>
      <c r="I162" s="101" t="s">
        <v>143</v>
      </c>
      <c r="J162" s="101"/>
      <c r="K162" s="302" t="s">
        <v>75</v>
      </c>
      <c r="L162" s="241" t="s">
        <v>62</v>
      </c>
      <c r="M162" s="241" t="s">
        <v>62</v>
      </c>
      <c r="N162" s="242" t="s">
        <v>62</v>
      </c>
      <c r="O162" s="242"/>
      <c r="P162" s="242"/>
      <c r="Q162" s="242"/>
      <c r="R162" s="242"/>
      <c r="S162" s="242"/>
      <c r="U162" s="56"/>
    </row>
    <row r="163" customFormat="false" ht="27.95" hidden="false" customHeight="true" outlineLevel="0" collapsed="false">
      <c r="B163" s="56"/>
      <c r="D163" s="236"/>
      <c r="E163" s="39"/>
      <c r="F163" s="44"/>
      <c r="G163" s="237"/>
      <c r="H163" s="301"/>
      <c r="I163" s="103" t="s">
        <v>144</v>
      </c>
      <c r="J163" s="103"/>
      <c r="K163" s="302"/>
      <c r="L163" s="241"/>
      <c r="M163" s="241"/>
      <c r="N163" s="241"/>
      <c r="O163" s="242"/>
      <c r="P163" s="242"/>
      <c r="Q163" s="242"/>
      <c r="R163" s="242"/>
      <c r="S163" s="242"/>
      <c r="U163" s="56"/>
    </row>
    <row r="164" customFormat="false" ht="15" hidden="false" customHeight="true" outlineLevel="0" collapsed="false">
      <c r="B164" s="56"/>
      <c r="D164" s="236"/>
      <c r="E164" s="39"/>
      <c r="F164" s="44"/>
      <c r="G164" s="237"/>
      <c r="H164" s="301"/>
      <c r="I164" s="103" t="s">
        <v>145</v>
      </c>
      <c r="J164" s="103"/>
      <c r="K164" s="302"/>
      <c r="L164" s="241"/>
      <c r="M164" s="241"/>
      <c r="N164" s="241"/>
      <c r="O164" s="242"/>
      <c r="P164" s="242"/>
      <c r="Q164" s="242"/>
      <c r="R164" s="242"/>
      <c r="S164" s="242"/>
      <c r="U164" s="56"/>
    </row>
    <row r="165" customFormat="false" ht="15" hidden="false" customHeight="true" outlineLevel="0" collapsed="false">
      <c r="B165" s="56"/>
      <c r="D165" s="236"/>
      <c r="E165" s="39"/>
      <c r="F165" s="44"/>
      <c r="G165" s="237"/>
      <c r="H165" s="301"/>
      <c r="I165" s="103" t="s">
        <v>146</v>
      </c>
      <c r="J165" s="103"/>
      <c r="K165" s="302"/>
      <c r="L165" s="241"/>
      <c r="M165" s="241"/>
      <c r="N165" s="241"/>
      <c r="O165" s="242"/>
      <c r="P165" s="242"/>
      <c r="Q165" s="242"/>
      <c r="R165" s="242"/>
      <c r="S165" s="242"/>
      <c r="U165" s="56"/>
    </row>
    <row r="166" customFormat="false" ht="27.95" hidden="false" customHeight="true" outlineLevel="0" collapsed="false">
      <c r="B166" s="56"/>
      <c r="D166" s="236"/>
      <c r="E166" s="39"/>
      <c r="F166" s="44"/>
      <c r="G166" s="237"/>
      <c r="H166" s="301"/>
      <c r="I166" s="103" t="s">
        <v>147</v>
      </c>
      <c r="J166" s="103"/>
      <c r="K166" s="302"/>
      <c r="L166" s="241"/>
      <c r="M166" s="241"/>
      <c r="N166" s="241"/>
      <c r="O166" s="242"/>
      <c r="P166" s="242"/>
      <c r="Q166" s="242"/>
      <c r="R166" s="242"/>
      <c r="S166" s="242"/>
      <c r="U166" s="56"/>
    </row>
    <row r="167" customFormat="false" ht="15.75" hidden="false" customHeight="true" outlineLevel="0" collapsed="false">
      <c r="B167" s="56"/>
      <c r="D167" s="236"/>
      <c r="E167" s="39"/>
      <c r="F167" s="44"/>
      <c r="G167" s="237"/>
      <c r="H167" s="301"/>
      <c r="I167" s="104" t="s">
        <v>148</v>
      </c>
      <c r="J167" s="104"/>
      <c r="K167" s="302"/>
      <c r="L167" s="241"/>
      <c r="M167" s="241"/>
      <c r="N167" s="241"/>
      <c r="O167" s="242"/>
      <c r="P167" s="242"/>
      <c r="Q167" s="242"/>
      <c r="R167" s="242"/>
      <c r="S167" s="242"/>
      <c r="U167" s="56"/>
    </row>
    <row r="168" customFormat="false" ht="20.1" hidden="false" customHeight="true" outlineLevel="0" collapsed="false">
      <c r="B168" s="56"/>
      <c r="U168" s="56"/>
    </row>
    <row r="169" customFormat="false" ht="20.1" hidden="false" customHeight="true" outlineLevel="0" collapsed="false">
      <c r="B169" s="56"/>
      <c r="C169" s="106"/>
      <c r="D169" s="106"/>
      <c r="E169" s="107" t="str">
        <f aca="false">IF(OR(L152="-",L152= ""),H152,L152)</f>
        <v>Flügelschlag</v>
      </c>
      <c r="F169" s="107"/>
      <c r="G169" s="107"/>
      <c r="H169" s="107"/>
      <c r="I169" s="107"/>
      <c r="J169" s="107"/>
      <c r="K169" s="107"/>
      <c r="L169" s="107"/>
      <c r="M169" s="107"/>
      <c r="N169" s="107"/>
      <c r="O169" s="108"/>
      <c r="P169" s="108"/>
      <c r="Q169" s="108"/>
      <c r="R169" s="108"/>
      <c r="S169" s="108"/>
      <c r="T169" s="106"/>
      <c r="U169" s="56"/>
    </row>
    <row r="170" customFormat="false" ht="50.1" hidden="false" customHeight="true" outlineLevel="0" collapsed="false">
      <c r="B170" s="56"/>
      <c r="C170" s="106"/>
      <c r="D170" s="108"/>
      <c r="E170" s="59" t="s">
        <v>48</v>
      </c>
      <c r="F170" s="109" t="s">
        <v>80</v>
      </c>
      <c r="G170" s="61" t="s">
        <v>81</v>
      </c>
      <c r="H170" s="60" t="s">
        <v>82</v>
      </c>
      <c r="I170" s="6" t="s">
        <v>83</v>
      </c>
      <c r="J170" s="60" t="s">
        <v>84</v>
      </c>
      <c r="K170" s="110" t="s">
        <v>85</v>
      </c>
      <c r="L170" s="60" t="s">
        <v>86</v>
      </c>
      <c r="M170" s="111" t="s">
        <v>87</v>
      </c>
      <c r="N170" s="61" t="s">
        <v>88</v>
      </c>
      <c r="O170" s="112" t="s">
        <v>89</v>
      </c>
      <c r="P170" s="113" t="s">
        <v>90</v>
      </c>
      <c r="Q170" s="113" t="s">
        <v>91</v>
      </c>
      <c r="R170" s="12" t="s">
        <v>92</v>
      </c>
      <c r="S170" s="108"/>
      <c r="T170" s="106"/>
      <c r="U170" s="56"/>
    </row>
    <row r="171" customFormat="false" ht="20.1" hidden="false" customHeight="true" outlineLevel="0" collapsed="false">
      <c r="B171" s="56"/>
      <c r="C171" s="106"/>
      <c r="D171" s="131"/>
      <c r="E171" s="303" t="s">
        <v>30</v>
      </c>
      <c r="F171" s="14" t="s">
        <v>31</v>
      </c>
      <c r="G171" s="258" t="n">
        <v>4</v>
      </c>
      <c r="H171" s="258" t="s">
        <v>62</v>
      </c>
      <c r="I171" s="258" t="n">
        <v>0</v>
      </c>
      <c r="J171" s="304" t="n">
        <v>71</v>
      </c>
      <c r="K171" s="258" t="s">
        <v>62</v>
      </c>
      <c r="L171" s="259" t="n">
        <f aca="false">IF(J171="",0,(J171/J175)*100)</f>
        <v>68.2692307692308</v>
      </c>
      <c r="M171" s="258" t="n">
        <v>3</v>
      </c>
      <c r="N171" s="260" t="n">
        <v>1</v>
      </c>
      <c r="O171" s="116" t="n">
        <f aca="false">IF(M171=1,1,0)</f>
        <v>0</v>
      </c>
      <c r="P171" s="117" t="n">
        <f aca="false">IF(M171=2,1,0)</f>
        <v>0</v>
      </c>
      <c r="Q171" s="117" t="n">
        <f aca="false">IF(M171=3,1,0)</f>
        <v>1</v>
      </c>
      <c r="R171" s="118" t="n">
        <f aca="false">IF(M171=4,1,0)</f>
        <v>0</v>
      </c>
      <c r="S171" s="119"/>
      <c r="T171" s="106"/>
      <c r="U171" s="56"/>
    </row>
    <row r="172" customFormat="false" ht="20.1" hidden="false" customHeight="true" outlineLevel="0" collapsed="false">
      <c r="B172" s="56"/>
      <c r="C172" s="106"/>
      <c r="D172" s="106"/>
      <c r="E172" s="77" t="s">
        <v>33</v>
      </c>
      <c r="F172" s="29" t="s">
        <v>34</v>
      </c>
      <c r="G172" s="248" t="n">
        <v>1</v>
      </c>
      <c r="H172" s="248" t="s">
        <v>62</v>
      </c>
      <c r="I172" s="248" t="n">
        <v>0</v>
      </c>
      <c r="J172" s="249" t="n">
        <v>70</v>
      </c>
      <c r="K172" s="249" t="s">
        <v>62</v>
      </c>
      <c r="L172" s="250" t="n">
        <f aca="false">IF(J172="",0,(J172/J175)*100)</f>
        <v>67.3076923076923</v>
      </c>
      <c r="M172" s="248" t="n">
        <v>4</v>
      </c>
      <c r="N172" s="251" t="n">
        <v>0</v>
      </c>
      <c r="O172" s="123" t="n">
        <f aca="false">IF(M172=1,1,0)</f>
        <v>0</v>
      </c>
      <c r="P172" s="124" t="n">
        <f aca="false">IF(M172=2,1,0)</f>
        <v>0</v>
      </c>
      <c r="Q172" s="124" t="n">
        <f aca="false">IF(M172=3,1,0)</f>
        <v>0</v>
      </c>
      <c r="R172" s="125" t="n">
        <f aca="false">IF(M172=4,1,0)</f>
        <v>1</v>
      </c>
      <c r="S172" s="119"/>
      <c r="T172" s="106"/>
      <c r="U172" s="56"/>
    </row>
    <row r="173" customFormat="false" ht="20.1" hidden="false" customHeight="true" outlineLevel="0" collapsed="false">
      <c r="B173" s="56"/>
      <c r="C173" s="106"/>
      <c r="D173" s="106"/>
      <c r="E173" s="126" t="s">
        <v>35</v>
      </c>
      <c r="F173" s="127" t="s">
        <v>36</v>
      </c>
      <c r="G173" s="128" t="n">
        <v>2</v>
      </c>
      <c r="H173" s="128" t="s">
        <v>62</v>
      </c>
      <c r="I173" s="128" t="n">
        <v>0</v>
      </c>
      <c r="J173" s="305" t="n">
        <v>104</v>
      </c>
      <c r="K173" s="305" t="s">
        <v>62</v>
      </c>
      <c r="L173" s="129" t="n">
        <f aca="false">IF(J173="",0,(J173/J175)*100)</f>
        <v>100</v>
      </c>
      <c r="M173" s="128" t="n">
        <v>1</v>
      </c>
      <c r="N173" s="130" t="n">
        <v>6</v>
      </c>
      <c r="O173" s="123" t="n">
        <f aca="false">IF(M173=1,1,0)</f>
        <v>1</v>
      </c>
      <c r="P173" s="124" t="n">
        <f aca="false">IF(M173=2,1,0)</f>
        <v>0</v>
      </c>
      <c r="Q173" s="124" t="n">
        <f aca="false">IF(M173=3,1,0)</f>
        <v>0</v>
      </c>
      <c r="R173" s="125" t="n">
        <f aca="false">IF(M173=4,1,0)</f>
        <v>0</v>
      </c>
      <c r="S173" s="119"/>
      <c r="T173" s="106"/>
      <c r="U173" s="56"/>
    </row>
    <row r="174" customFormat="false" ht="20.1" hidden="false" customHeight="true" outlineLevel="0" collapsed="false">
      <c r="B174" s="56"/>
      <c r="C174" s="106"/>
      <c r="D174" s="106"/>
      <c r="E174" s="252" t="s">
        <v>37</v>
      </c>
      <c r="F174" s="39" t="s">
        <v>38</v>
      </c>
      <c r="G174" s="253" t="n">
        <v>3</v>
      </c>
      <c r="H174" s="254" t="s">
        <v>62</v>
      </c>
      <c r="I174" s="253" t="n">
        <v>0</v>
      </c>
      <c r="J174" s="254" t="n">
        <v>84</v>
      </c>
      <c r="K174" s="254" t="s">
        <v>62</v>
      </c>
      <c r="L174" s="255" t="n">
        <f aca="false">IF(J174="",0,(J174/J175)*100)</f>
        <v>80.7692307692308</v>
      </c>
      <c r="M174" s="253" t="n">
        <v>2</v>
      </c>
      <c r="N174" s="256" t="n">
        <v>3</v>
      </c>
      <c r="O174" s="135" t="n">
        <f aca="false">IF(M174=1,1,0)</f>
        <v>0</v>
      </c>
      <c r="P174" s="136" t="n">
        <f aca="false">IF(M174=2,1,0)</f>
        <v>1</v>
      </c>
      <c r="Q174" s="136" t="n">
        <f aca="false">IF(M174=3,1,0)</f>
        <v>0</v>
      </c>
      <c r="R174" s="137" t="n">
        <f aca="false">IF(M174=4,1,0)</f>
        <v>0</v>
      </c>
      <c r="S174" s="119"/>
      <c r="T174" s="106"/>
      <c r="U174" s="56"/>
    </row>
    <row r="175" customFormat="false" ht="20.1" hidden="true" customHeight="true" outlineLevel="1" collapsed="false">
      <c r="B175" s="56"/>
      <c r="C175" s="106"/>
      <c r="D175" s="131"/>
      <c r="E175" s="131"/>
      <c r="F175" s="139"/>
      <c r="G175" s="139"/>
      <c r="H175" s="106"/>
      <c r="I175" s="170" t="s">
        <v>94</v>
      </c>
      <c r="J175" s="141" t="n">
        <f aca="false">MAX(J171:J174)</f>
        <v>104</v>
      </c>
      <c r="K175" s="257"/>
      <c r="L175" s="147"/>
      <c r="M175" s="106"/>
      <c r="N175" s="144" t="s">
        <v>95</v>
      </c>
      <c r="O175" s="145" t="n">
        <f aca="false">SUM(O171:O174)</f>
        <v>1</v>
      </c>
      <c r="P175" s="146" t="n">
        <f aca="false">SUM(P171:P174)</f>
        <v>1</v>
      </c>
      <c r="Q175" s="145" t="n">
        <f aca="false">SUM(Q171:Q174)</f>
        <v>1</v>
      </c>
      <c r="R175" s="158" t="n">
        <f aca="false">SUM(R171:R174)</f>
        <v>1</v>
      </c>
      <c r="S175" s="147"/>
      <c r="T175" s="106"/>
      <c r="U175" s="56"/>
    </row>
    <row r="176" customFormat="false" ht="20.1" hidden="false" customHeight="true" outlineLevel="0" collapsed="false">
      <c r="B176" s="56"/>
      <c r="C176" s="106"/>
      <c r="D176" s="106"/>
      <c r="E176" s="106"/>
      <c r="F176" s="106"/>
      <c r="G176" s="106"/>
      <c r="H176" s="106"/>
      <c r="I176" s="106"/>
      <c r="J176" s="106"/>
      <c r="K176" s="106"/>
      <c r="L176" s="106"/>
      <c r="M176" s="106"/>
      <c r="N176" s="106"/>
      <c r="O176" s="106"/>
      <c r="P176" s="106"/>
      <c r="Q176" s="106"/>
      <c r="R176" s="106"/>
      <c r="S176" s="106"/>
      <c r="T176" s="106"/>
      <c r="U176" s="56"/>
    </row>
    <row r="177" customFormat="false" ht="20.1" hidden="false" customHeight="true" outlineLevel="0" collapsed="false">
      <c r="B177" s="56"/>
      <c r="U177" s="56"/>
    </row>
    <row r="178" customFormat="false" ht="20.1" hidden="false" customHeight="true" outlineLevel="0" collapsed="false">
      <c r="B178" s="56"/>
      <c r="C178" s="149"/>
      <c r="D178" s="149"/>
      <c r="E178" s="150" t="str">
        <f aca="false">IF(OR(L155="-",L155= ""),H155,L155)</f>
        <v>Parks</v>
      </c>
      <c r="F178" s="150"/>
      <c r="G178" s="150"/>
      <c r="H178" s="150"/>
      <c r="I178" s="150"/>
      <c r="J178" s="150"/>
      <c r="K178" s="150"/>
      <c r="L178" s="150"/>
      <c r="M178" s="150"/>
      <c r="N178" s="150"/>
      <c r="O178" s="151"/>
      <c r="P178" s="151"/>
      <c r="Q178" s="151"/>
      <c r="R178" s="151"/>
      <c r="S178" s="151"/>
      <c r="T178" s="149"/>
      <c r="U178" s="56"/>
    </row>
    <row r="179" customFormat="false" ht="50.1" hidden="false" customHeight="true" outlineLevel="0" collapsed="false">
      <c r="B179" s="56"/>
      <c r="C179" s="149"/>
      <c r="D179" s="151"/>
      <c r="E179" s="59" t="s">
        <v>48</v>
      </c>
      <c r="F179" s="109" t="s">
        <v>80</v>
      </c>
      <c r="G179" s="61" t="s">
        <v>81</v>
      </c>
      <c r="H179" s="60" t="s">
        <v>82</v>
      </c>
      <c r="I179" s="6" t="s">
        <v>83</v>
      </c>
      <c r="J179" s="60" t="s">
        <v>84</v>
      </c>
      <c r="K179" s="110" t="s">
        <v>85</v>
      </c>
      <c r="L179" s="60" t="s">
        <v>86</v>
      </c>
      <c r="M179" s="111" t="s">
        <v>87</v>
      </c>
      <c r="N179" s="61" t="s">
        <v>88</v>
      </c>
      <c r="O179" s="112" t="s">
        <v>89</v>
      </c>
      <c r="P179" s="113" t="s">
        <v>90</v>
      </c>
      <c r="Q179" s="113" t="s">
        <v>91</v>
      </c>
      <c r="R179" s="12" t="s">
        <v>92</v>
      </c>
      <c r="S179" s="151"/>
      <c r="T179" s="149"/>
      <c r="U179" s="56"/>
    </row>
    <row r="180" customFormat="false" ht="20.1" hidden="false" customHeight="true" outlineLevel="0" collapsed="false">
      <c r="B180" s="56"/>
      <c r="C180" s="149"/>
      <c r="D180" s="153"/>
      <c r="E180" s="303" t="s">
        <v>30</v>
      </c>
      <c r="F180" s="14" t="s">
        <v>31</v>
      </c>
      <c r="G180" s="258" t="n">
        <v>3</v>
      </c>
      <c r="H180" s="258" t="s">
        <v>62</v>
      </c>
      <c r="I180" s="258" t="n">
        <v>0</v>
      </c>
      <c r="J180" s="304" t="n">
        <v>21</v>
      </c>
      <c r="K180" s="258" t="s">
        <v>62</v>
      </c>
      <c r="L180" s="259" t="n">
        <f aca="false">IF(J180="",0,(J180/J184)*100)</f>
        <v>42.8571428571429</v>
      </c>
      <c r="M180" s="258" t="n">
        <v>4</v>
      </c>
      <c r="N180" s="260" t="n">
        <v>0</v>
      </c>
      <c r="O180" s="116" t="n">
        <f aca="false">IF(M180=1,1,0)</f>
        <v>0</v>
      </c>
      <c r="P180" s="117" t="n">
        <f aca="false">IF(M180=2,1,0)</f>
        <v>0</v>
      </c>
      <c r="Q180" s="117" t="n">
        <f aca="false">IF(M180=3,1,0)</f>
        <v>0</v>
      </c>
      <c r="R180" s="118" t="n">
        <f aca="false">IF(M180=4,1,0)</f>
        <v>1</v>
      </c>
      <c r="S180" s="152"/>
      <c r="T180" s="149"/>
      <c r="U180" s="56"/>
    </row>
    <row r="181" customFormat="false" ht="20.1" hidden="false" customHeight="true" outlineLevel="0" collapsed="false">
      <c r="B181" s="56"/>
      <c r="C181" s="149"/>
      <c r="D181" s="149"/>
      <c r="E181" s="77" t="s">
        <v>33</v>
      </c>
      <c r="F181" s="29" t="s">
        <v>34</v>
      </c>
      <c r="G181" s="248" t="n">
        <v>2</v>
      </c>
      <c r="H181" s="248" t="s">
        <v>62</v>
      </c>
      <c r="I181" s="248" t="n">
        <v>0</v>
      </c>
      <c r="J181" s="249" t="n">
        <v>26</v>
      </c>
      <c r="K181" s="249" t="s">
        <v>62</v>
      </c>
      <c r="L181" s="250" t="n">
        <f aca="false">IF(J181="",0,(J181/J184)*100)</f>
        <v>53.0612244897959</v>
      </c>
      <c r="M181" s="248" t="n">
        <v>3</v>
      </c>
      <c r="N181" s="251" t="n">
        <v>1</v>
      </c>
      <c r="O181" s="123" t="n">
        <f aca="false">IF(M181=1,1,0)</f>
        <v>0</v>
      </c>
      <c r="P181" s="124" t="n">
        <f aca="false">IF(M181=2,1,0)</f>
        <v>0</v>
      </c>
      <c r="Q181" s="124" t="n">
        <f aca="false">IF(M181=3,1,0)</f>
        <v>1</v>
      </c>
      <c r="R181" s="125" t="n">
        <f aca="false">IF(M181=4,1,0)</f>
        <v>0</v>
      </c>
      <c r="S181" s="152"/>
      <c r="T181" s="149"/>
      <c r="U181" s="56"/>
    </row>
    <row r="182" customFormat="false" ht="20.1" hidden="false" customHeight="true" outlineLevel="0" collapsed="false">
      <c r="B182" s="56"/>
      <c r="C182" s="149"/>
      <c r="D182" s="153"/>
      <c r="E182" s="77" t="s">
        <v>35</v>
      </c>
      <c r="F182" s="29" t="s">
        <v>36</v>
      </c>
      <c r="G182" s="248" t="n">
        <v>4</v>
      </c>
      <c r="H182" s="248" t="s">
        <v>62</v>
      </c>
      <c r="I182" s="248" t="n">
        <v>0</v>
      </c>
      <c r="J182" s="249" t="n">
        <v>41</v>
      </c>
      <c r="K182" s="249" t="s">
        <v>62</v>
      </c>
      <c r="L182" s="250" t="n">
        <f aca="false">IF(J182="",0,(J182/J184)*100)</f>
        <v>83.6734693877551</v>
      </c>
      <c r="M182" s="248" t="n">
        <v>2</v>
      </c>
      <c r="N182" s="251" t="n">
        <v>3</v>
      </c>
      <c r="O182" s="123" t="n">
        <f aca="false">IF(M182=1,1,0)</f>
        <v>0</v>
      </c>
      <c r="P182" s="124" t="n">
        <f aca="false">IF(M182=2,1,0)</f>
        <v>1</v>
      </c>
      <c r="Q182" s="124" t="n">
        <f aca="false">IF(M182=3,1,0)</f>
        <v>0</v>
      </c>
      <c r="R182" s="125" t="n">
        <f aca="false">IF(M182=4,1,0)</f>
        <v>0</v>
      </c>
      <c r="S182" s="152"/>
      <c r="T182" s="149"/>
      <c r="U182" s="56"/>
    </row>
    <row r="183" customFormat="false" ht="20.1" hidden="false" customHeight="true" outlineLevel="0" collapsed="false">
      <c r="B183" s="56"/>
      <c r="C183" s="149"/>
      <c r="D183" s="149"/>
      <c r="E183" s="261" t="s">
        <v>37</v>
      </c>
      <c r="F183" s="262" t="s">
        <v>38</v>
      </c>
      <c r="G183" s="263" t="n">
        <v>1</v>
      </c>
      <c r="H183" s="264" t="s">
        <v>62</v>
      </c>
      <c r="I183" s="263" t="n">
        <v>0</v>
      </c>
      <c r="J183" s="264" t="n">
        <v>49</v>
      </c>
      <c r="K183" s="264" t="s">
        <v>62</v>
      </c>
      <c r="L183" s="265" t="n">
        <f aca="false">IF(J183="",0,(J183/J184)*100)</f>
        <v>100</v>
      </c>
      <c r="M183" s="263" t="n">
        <v>1</v>
      </c>
      <c r="N183" s="266" t="n">
        <v>6</v>
      </c>
      <c r="O183" s="135" t="n">
        <f aca="false">IF(M183=1,1,0)</f>
        <v>1</v>
      </c>
      <c r="P183" s="136" t="n">
        <f aca="false">IF(M183=2,1,0)</f>
        <v>0</v>
      </c>
      <c r="Q183" s="136" t="n">
        <f aca="false">IF(M183=3,1,0)</f>
        <v>0</v>
      </c>
      <c r="R183" s="137" t="n">
        <f aca="false">IF(M183=4,1,0)</f>
        <v>0</v>
      </c>
      <c r="S183" s="152"/>
      <c r="T183" s="149"/>
      <c r="U183" s="56"/>
    </row>
    <row r="184" customFormat="false" ht="20.1" hidden="true" customHeight="true" outlineLevel="1" collapsed="false">
      <c r="B184" s="56"/>
      <c r="C184" s="149"/>
      <c r="D184" s="149"/>
      <c r="E184" s="149"/>
      <c r="F184" s="155"/>
      <c r="G184" s="155"/>
      <c r="H184" s="149"/>
      <c r="I184" s="170" t="s">
        <v>94</v>
      </c>
      <c r="J184" s="141" t="n">
        <f aca="false">MAX(J180:J183)</f>
        <v>49</v>
      </c>
      <c r="K184" s="157"/>
      <c r="L184" s="152"/>
      <c r="M184" s="149"/>
      <c r="N184" s="144" t="s">
        <v>95</v>
      </c>
      <c r="O184" s="145" t="n">
        <f aca="false">SUM(O180:O183)</f>
        <v>1</v>
      </c>
      <c r="P184" s="146" t="n">
        <f aca="false">SUM(P180:P183)</f>
        <v>1</v>
      </c>
      <c r="Q184" s="145" t="n">
        <f aca="false">SUM(Q180:Q183)</f>
        <v>1</v>
      </c>
      <c r="R184" s="158" t="n">
        <f aca="false">SUM(R180:R183)</f>
        <v>1</v>
      </c>
      <c r="S184" s="159"/>
      <c r="T184" s="149"/>
      <c r="U184" s="56"/>
    </row>
    <row r="185" customFormat="false" ht="20.1" hidden="false" customHeight="true" outlineLevel="0" collapsed="false">
      <c r="B185" s="56"/>
      <c r="C185" s="149"/>
      <c r="D185" s="149"/>
      <c r="E185" s="149"/>
      <c r="F185" s="149"/>
      <c r="G185" s="149"/>
      <c r="H185" s="149"/>
      <c r="I185" s="149"/>
      <c r="J185" s="149"/>
      <c r="K185" s="149"/>
      <c r="L185" s="149"/>
      <c r="M185" s="149"/>
      <c r="N185" s="149"/>
      <c r="O185" s="149"/>
      <c r="P185" s="149"/>
      <c r="Q185" s="149"/>
      <c r="R185" s="149"/>
      <c r="S185" s="149"/>
      <c r="T185" s="149"/>
      <c r="U185" s="56"/>
    </row>
    <row r="186" customFormat="false" ht="20.1" hidden="false" customHeight="true" outlineLevel="0" collapsed="false">
      <c r="B186" s="56"/>
      <c r="D186" s="45"/>
      <c r="E186" s="45"/>
      <c r="F186" s="45"/>
      <c r="G186" s="45"/>
      <c r="H186" s="160"/>
      <c r="I186" s="45"/>
      <c r="J186" s="45"/>
      <c r="U186" s="56"/>
    </row>
    <row r="187" customFormat="false" ht="20.1" hidden="false" customHeight="true" outlineLevel="0" collapsed="false">
      <c r="B187" s="56"/>
      <c r="C187" s="161"/>
      <c r="D187" s="161"/>
      <c r="E187" s="162" t="str">
        <f aca="false">IF(OR(L159="-",L159= ""),H159,L159)</f>
        <v>Die Burgen von 
Burgund</v>
      </c>
      <c r="F187" s="162"/>
      <c r="G187" s="162"/>
      <c r="H187" s="162"/>
      <c r="I187" s="162"/>
      <c r="J187" s="162"/>
      <c r="K187" s="162"/>
      <c r="L187" s="162"/>
      <c r="M187" s="162"/>
      <c r="N187" s="162"/>
      <c r="O187" s="163"/>
      <c r="P187" s="163"/>
      <c r="Q187" s="163"/>
      <c r="R187" s="163"/>
      <c r="S187" s="163"/>
      <c r="T187" s="161"/>
      <c r="U187" s="164"/>
    </row>
    <row r="188" customFormat="false" ht="50.1" hidden="false" customHeight="true" outlineLevel="0" collapsed="false">
      <c r="B188" s="56"/>
      <c r="C188" s="161"/>
      <c r="D188" s="163"/>
      <c r="E188" s="59" t="s">
        <v>48</v>
      </c>
      <c r="F188" s="109" t="s">
        <v>80</v>
      </c>
      <c r="G188" s="61" t="s">
        <v>81</v>
      </c>
      <c r="H188" s="60" t="s">
        <v>82</v>
      </c>
      <c r="I188" s="6" t="s">
        <v>83</v>
      </c>
      <c r="J188" s="60" t="s">
        <v>84</v>
      </c>
      <c r="K188" s="110" t="s">
        <v>85</v>
      </c>
      <c r="L188" s="60" t="s">
        <v>86</v>
      </c>
      <c r="M188" s="111" t="s">
        <v>87</v>
      </c>
      <c r="N188" s="61" t="s">
        <v>88</v>
      </c>
      <c r="O188" s="112" t="s">
        <v>89</v>
      </c>
      <c r="P188" s="113" t="s">
        <v>90</v>
      </c>
      <c r="Q188" s="113" t="s">
        <v>91</v>
      </c>
      <c r="R188" s="12" t="s">
        <v>92</v>
      </c>
      <c r="S188" s="163"/>
      <c r="T188" s="161"/>
      <c r="U188" s="164"/>
    </row>
    <row r="189" customFormat="false" ht="20.1" hidden="false" customHeight="true" outlineLevel="0" collapsed="false">
      <c r="B189" s="56"/>
      <c r="C189" s="161"/>
      <c r="D189" s="167"/>
      <c r="E189" s="303" t="s">
        <v>30</v>
      </c>
      <c r="F189" s="14" t="s">
        <v>31</v>
      </c>
      <c r="G189" s="258" t="n">
        <v>3</v>
      </c>
      <c r="H189" s="258" t="s">
        <v>149</v>
      </c>
      <c r="I189" s="258" t="n">
        <v>0</v>
      </c>
      <c r="J189" s="304" t="n">
        <v>196</v>
      </c>
      <c r="K189" s="258" t="s">
        <v>62</v>
      </c>
      <c r="L189" s="259" t="n">
        <f aca="false">IF(J189="",0,(J189/J193)*100)</f>
        <v>79.3522267206478</v>
      </c>
      <c r="M189" s="258" t="n">
        <v>3</v>
      </c>
      <c r="N189" s="260" t="n">
        <v>1</v>
      </c>
      <c r="O189" s="116" t="n">
        <f aca="false">IF(M189=1,1,0)</f>
        <v>0</v>
      </c>
      <c r="P189" s="117" t="n">
        <f aca="false">IF(M189=2,1,0)</f>
        <v>0</v>
      </c>
      <c r="Q189" s="117" t="n">
        <f aca="false">IF(M189=3,1,0)</f>
        <v>1</v>
      </c>
      <c r="R189" s="118" t="n">
        <f aca="false">IF(M189=4,1,0)</f>
        <v>0</v>
      </c>
      <c r="S189" s="166"/>
      <c r="T189" s="161"/>
      <c r="U189" s="56"/>
    </row>
    <row r="190" customFormat="false" ht="20.1" hidden="false" customHeight="true" outlineLevel="0" collapsed="false">
      <c r="B190" s="56"/>
      <c r="C190" s="161"/>
      <c r="D190" s="161"/>
      <c r="E190" s="77" t="s">
        <v>33</v>
      </c>
      <c r="F190" s="29" t="s">
        <v>34</v>
      </c>
      <c r="G190" s="248" t="n">
        <v>2</v>
      </c>
      <c r="H190" s="248" t="s">
        <v>149</v>
      </c>
      <c r="I190" s="248" t="n">
        <v>0</v>
      </c>
      <c r="J190" s="249" t="n">
        <v>190</v>
      </c>
      <c r="K190" s="249" t="s">
        <v>62</v>
      </c>
      <c r="L190" s="250" t="n">
        <f aca="false">IF(J190="",0,(J190/J193)*100)</f>
        <v>76.9230769230769</v>
      </c>
      <c r="M190" s="248" t="n">
        <v>4</v>
      </c>
      <c r="N190" s="251" t="n">
        <v>0</v>
      </c>
      <c r="O190" s="123" t="n">
        <f aca="false">IF(M190=1,1,0)</f>
        <v>0</v>
      </c>
      <c r="P190" s="124" t="n">
        <f aca="false">IF(M190=2,1,0)</f>
        <v>0</v>
      </c>
      <c r="Q190" s="124" t="n">
        <f aca="false">IF(M190=3,1,0)</f>
        <v>0</v>
      </c>
      <c r="R190" s="125" t="n">
        <f aca="false">IF(M190=4,1,0)</f>
        <v>1</v>
      </c>
      <c r="S190" s="166"/>
      <c r="T190" s="161"/>
      <c r="U190" s="168"/>
    </row>
    <row r="191" customFormat="false" ht="20.1" hidden="false" customHeight="true" outlineLevel="0" collapsed="false">
      <c r="B191" s="56"/>
      <c r="C191" s="161"/>
      <c r="D191" s="161"/>
      <c r="E191" s="126" t="s">
        <v>35</v>
      </c>
      <c r="F191" s="127" t="s">
        <v>36</v>
      </c>
      <c r="G191" s="128" t="n">
        <v>4</v>
      </c>
      <c r="H191" s="128" t="s">
        <v>150</v>
      </c>
      <c r="I191" s="128" t="n">
        <v>0</v>
      </c>
      <c r="J191" s="305" t="n">
        <v>247</v>
      </c>
      <c r="K191" s="305" t="s">
        <v>62</v>
      </c>
      <c r="L191" s="129" t="n">
        <f aca="false">IF(J191="",0,(J191/J193)*100)</f>
        <v>100</v>
      </c>
      <c r="M191" s="128" t="n">
        <v>1</v>
      </c>
      <c r="N191" s="130" t="n">
        <v>6</v>
      </c>
      <c r="O191" s="123" t="n">
        <f aca="false">IF(M191=1,1,0)</f>
        <v>1</v>
      </c>
      <c r="P191" s="124" t="n">
        <f aca="false">IF(M191=2,1,0)</f>
        <v>0</v>
      </c>
      <c r="Q191" s="124" t="n">
        <f aca="false">IF(M191=3,1,0)</f>
        <v>0</v>
      </c>
      <c r="R191" s="125" t="n">
        <f aca="false">IF(M191=4,1,0)</f>
        <v>0</v>
      </c>
      <c r="S191" s="166"/>
      <c r="T191" s="161"/>
      <c r="U191" s="168"/>
    </row>
    <row r="192" customFormat="false" ht="20.1" hidden="false" customHeight="true" outlineLevel="0" collapsed="false">
      <c r="B192" s="56"/>
      <c r="C192" s="161"/>
      <c r="D192" s="161"/>
      <c r="E192" s="252" t="s">
        <v>37</v>
      </c>
      <c r="F192" s="39" t="s">
        <v>38</v>
      </c>
      <c r="G192" s="253" t="n">
        <v>1</v>
      </c>
      <c r="H192" s="254" t="s">
        <v>151</v>
      </c>
      <c r="I192" s="253" t="n">
        <v>0</v>
      </c>
      <c r="J192" s="254" t="n">
        <v>242</v>
      </c>
      <c r="K192" s="254" t="s">
        <v>62</v>
      </c>
      <c r="L192" s="255" t="n">
        <f aca="false">IF(J192="",0,(J192/J193)*100)</f>
        <v>97.9757085020243</v>
      </c>
      <c r="M192" s="253" t="n">
        <v>2</v>
      </c>
      <c r="N192" s="256" t="n">
        <v>3</v>
      </c>
      <c r="O192" s="135" t="n">
        <f aca="false">IF(M192=1,1,0)</f>
        <v>0</v>
      </c>
      <c r="P192" s="136" t="n">
        <f aca="false">IF(M192=2,1,0)</f>
        <v>1</v>
      </c>
      <c r="Q192" s="136" t="n">
        <f aca="false">IF(M192=3,1,0)</f>
        <v>0</v>
      </c>
      <c r="R192" s="137" t="n">
        <f aca="false">IF(M192=4,1,0)</f>
        <v>0</v>
      </c>
      <c r="S192" s="166"/>
      <c r="T192" s="161"/>
      <c r="U192" s="168"/>
    </row>
    <row r="193" customFormat="false" ht="20.1" hidden="true" customHeight="true" outlineLevel="1" collapsed="false">
      <c r="B193" s="56"/>
      <c r="C193" s="161"/>
      <c r="D193" s="161"/>
      <c r="E193" s="161"/>
      <c r="F193" s="169"/>
      <c r="G193" s="169"/>
      <c r="H193" s="161"/>
      <c r="I193" s="170" t="s">
        <v>94</v>
      </c>
      <c r="J193" s="141" t="n">
        <f aca="false">MAX(J189:J192)</f>
        <v>247</v>
      </c>
      <c r="K193" s="171"/>
      <c r="L193" s="166"/>
      <c r="M193" s="161"/>
      <c r="N193" s="144" t="s">
        <v>95</v>
      </c>
      <c r="O193" s="145" t="n">
        <f aca="false">SUM(O189:O192)</f>
        <v>1</v>
      </c>
      <c r="P193" s="146" t="n">
        <f aca="false">SUM(P189:P192)</f>
        <v>1</v>
      </c>
      <c r="Q193" s="145" t="n">
        <f aca="false">SUM(Q189:Q192)</f>
        <v>1</v>
      </c>
      <c r="R193" s="158" t="n">
        <f aca="false">SUM(R189:R192)</f>
        <v>1</v>
      </c>
      <c r="S193" s="172"/>
      <c r="T193" s="161"/>
      <c r="U193" s="168"/>
    </row>
    <row r="194" customFormat="false" ht="20.1" hidden="false" customHeight="true" outlineLevel="0" collapsed="false">
      <c r="B194" s="56"/>
      <c r="C194" s="161"/>
      <c r="D194" s="161"/>
      <c r="E194" s="161"/>
      <c r="F194" s="161"/>
      <c r="G194" s="161"/>
      <c r="H194" s="161"/>
      <c r="I194" s="161"/>
      <c r="J194" s="161"/>
      <c r="K194" s="161"/>
      <c r="L194" s="161"/>
      <c r="M194" s="161"/>
      <c r="N194" s="161"/>
      <c r="O194" s="161"/>
      <c r="P194" s="161"/>
      <c r="Q194" s="161"/>
      <c r="R194" s="161"/>
      <c r="S194" s="161"/>
      <c r="T194" s="161"/>
      <c r="U194" s="168"/>
    </row>
    <row r="195" customFormat="false" ht="20.1" hidden="false" customHeight="true" outlineLevel="0" collapsed="false">
      <c r="B195" s="56"/>
      <c r="D195" s="45"/>
      <c r="E195" s="45"/>
      <c r="F195" s="45"/>
      <c r="G195" s="45"/>
      <c r="H195" s="160"/>
      <c r="I195" s="45"/>
      <c r="J195" s="45"/>
      <c r="K195" s="45"/>
      <c r="U195" s="56"/>
    </row>
    <row r="196" customFormat="false" ht="20.1" hidden="false" customHeight="true" outlineLevel="0" collapsed="false">
      <c r="B196" s="56"/>
      <c r="C196" s="173"/>
      <c r="D196" s="173"/>
      <c r="E196" s="174" t="str">
        <f aca="false">IF(OR(M162="-",M162= ""),H162,M162)</f>
        <v>Agricola</v>
      </c>
      <c r="F196" s="174"/>
      <c r="G196" s="174"/>
      <c r="H196" s="174"/>
      <c r="I196" s="174"/>
      <c r="J196" s="174"/>
      <c r="K196" s="174"/>
      <c r="L196" s="174"/>
      <c r="M196" s="174"/>
      <c r="N196" s="174"/>
      <c r="O196" s="175"/>
      <c r="P196" s="175"/>
      <c r="Q196" s="175"/>
      <c r="R196" s="175"/>
      <c r="S196" s="175"/>
      <c r="T196" s="173"/>
      <c r="U196" s="56"/>
    </row>
    <row r="197" customFormat="false" ht="50.1" hidden="false" customHeight="true" outlineLevel="0" collapsed="false">
      <c r="B197" s="56"/>
      <c r="C197" s="173"/>
      <c r="D197" s="175"/>
      <c r="E197" s="59" t="s">
        <v>48</v>
      </c>
      <c r="F197" s="109" t="s">
        <v>80</v>
      </c>
      <c r="G197" s="61" t="s">
        <v>81</v>
      </c>
      <c r="H197" s="60" t="s">
        <v>82</v>
      </c>
      <c r="I197" s="6" t="s">
        <v>83</v>
      </c>
      <c r="J197" s="60" t="s">
        <v>84</v>
      </c>
      <c r="K197" s="110" t="s">
        <v>85</v>
      </c>
      <c r="L197" s="60" t="s">
        <v>86</v>
      </c>
      <c r="M197" s="111" t="s">
        <v>87</v>
      </c>
      <c r="N197" s="61" t="s">
        <v>88</v>
      </c>
      <c r="O197" s="112" t="s">
        <v>89</v>
      </c>
      <c r="P197" s="113" t="s">
        <v>90</v>
      </c>
      <c r="Q197" s="113" t="s">
        <v>91</v>
      </c>
      <c r="R197" s="12" t="s">
        <v>92</v>
      </c>
      <c r="S197" s="175"/>
      <c r="T197" s="173"/>
      <c r="U197" s="56"/>
    </row>
    <row r="198" customFormat="false" ht="20.1" hidden="false" customHeight="true" outlineLevel="0" collapsed="false">
      <c r="B198" s="56"/>
      <c r="C198" s="173"/>
      <c r="D198" s="173"/>
      <c r="E198" s="303" t="s">
        <v>30</v>
      </c>
      <c r="F198" s="14" t="s">
        <v>31</v>
      </c>
      <c r="G198" s="258" t="n">
        <v>1</v>
      </c>
      <c r="H198" s="258" t="s">
        <v>62</v>
      </c>
      <c r="I198" s="258" t="n">
        <v>-14</v>
      </c>
      <c r="J198" s="304" t="n">
        <v>26</v>
      </c>
      <c r="K198" s="258" t="s">
        <v>62</v>
      </c>
      <c r="L198" s="259" t="n">
        <f aca="false">IF(J198="",0,(J198/J202)*100)</f>
        <v>57.7777777777778</v>
      </c>
      <c r="M198" s="258" t="n">
        <v>4</v>
      </c>
      <c r="N198" s="260" t="n">
        <v>0</v>
      </c>
      <c r="O198" s="116" t="n">
        <f aca="false">IF(M198=1,1,0)</f>
        <v>0</v>
      </c>
      <c r="P198" s="117" t="n">
        <f aca="false">IF(M198=2,1,0)</f>
        <v>0</v>
      </c>
      <c r="Q198" s="117" t="n">
        <f aca="false">IF(M198=3,1,0)</f>
        <v>0</v>
      </c>
      <c r="R198" s="118" t="n">
        <f aca="false">IF(M198=4,1,0)</f>
        <v>1</v>
      </c>
      <c r="S198" s="176"/>
      <c r="T198" s="173"/>
      <c r="U198" s="56"/>
    </row>
    <row r="199" customFormat="false" ht="20.1" hidden="false" customHeight="true" outlineLevel="0" collapsed="false">
      <c r="B199" s="56"/>
      <c r="C199" s="173"/>
      <c r="D199" s="173"/>
      <c r="E199" s="77" t="s">
        <v>33</v>
      </c>
      <c r="F199" s="29" t="s">
        <v>34</v>
      </c>
      <c r="G199" s="248" t="n">
        <v>4</v>
      </c>
      <c r="H199" s="248" t="s">
        <v>62</v>
      </c>
      <c r="I199" s="248" t="n">
        <v>-14</v>
      </c>
      <c r="J199" s="249" t="n">
        <v>28</v>
      </c>
      <c r="K199" s="249" t="s">
        <v>62</v>
      </c>
      <c r="L199" s="250" t="n">
        <f aca="false">IF(J199="",0,(J199/J202)*100)</f>
        <v>62.2222222222222</v>
      </c>
      <c r="M199" s="248" t="n">
        <v>2</v>
      </c>
      <c r="N199" s="251" t="n">
        <v>3</v>
      </c>
      <c r="O199" s="123" t="n">
        <f aca="false">IF(M199=1,1,0)</f>
        <v>0</v>
      </c>
      <c r="P199" s="124" t="n">
        <f aca="false">IF(M199=2,1,0)</f>
        <v>1</v>
      </c>
      <c r="Q199" s="124" t="n">
        <f aca="false">IF(M199=3,1,0)</f>
        <v>0</v>
      </c>
      <c r="R199" s="125" t="n">
        <f aca="false">IF(M199=4,1,0)</f>
        <v>0</v>
      </c>
      <c r="S199" s="176"/>
      <c r="T199" s="173"/>
      <c r="U199" s="56"/>
    </row>
    <row r="200" customFormat="false" ht="20.1" hidden="false" customHeight="true" outlineLevel="0" collapsed="false">
      <c r="B200" s="56"/>
      <c r="C200" s="173"/>
      <c r="D200" s="173"/>
      <c r="E200" s="77" t="s">
        <v>35</v>
      </c>
      <c r="F200" s="29" t="s">
        <v>36</v>
      </c>
      <c r="G200" s="248" t="n">
        <v>2</v>
      </c>
      <c r="H200" s="248" t="s">
        <v>62</v>
      </c>
      <c r="I200" s="248" t="n">
        <v>-14</v>
      </c>
      <c r="J200" s="249" t="n">
        <v>27</v>
      </c>
      <c r="K200" s="249" t="s">
        <v>62</v>
      </c>
      <c r="L200" s="250" t="n">
        <f aca="false">IF(J200="",0,(J200/J202)*100)</f>
        <v>60</v>
      </c>
      <c r="M200" s="248" t="n">
        <v>3</v>
      </c>
      <c r="N200" s="251" t="n">
        <v>1</v>
      </c>
      <c r="O200" s="123" t="n">
        <f aca="false">IF(M200=1,1,0)</f>
        <v>0</v>
      </c>
      <c r="P200" s="124" t="n">
        <f aca="false">IF(M200=2,1,0)</f>
        <v>0</v>
      </c>
      <c r="Q200" s="124" t="n">
        <f aca="false">IF(M200=3,1,0)</f>
        <v>1</v>
      </c>
      <c r="R200" s="125" t="n">
        <f aca="false">IF(M200=4,1,0)</f>
        <v>0</v>
      </c>
      <c r="S200" s="176"/>
      <c r="T200" s="173"/>
      <c r="U200" s="56"/>
    </row>
    <row r="201" customFormat="false" ht="20.1" hidden="false" customHeight="true" outlineLevel="0" collapsed="false">
      <c r="B201" s="56"/>
      <c r="C201" s="173"/>
      <c r="D201" s="177"/>
      <c r="E201" s="261" t="s">
        <v>37</v>
      </c>
      <c r="F201" s="262" t="s">
        <v>38</v>
      </c>
      <c r="G201" s="263" t="n">
        <v>3</v>
      </c>
      <c r="H201" s="264" t="s">
        <v>62</v>
      </c>
      <c r="I201" s="263" t="n">
        <v>-14</v>
      </c>
      <c r="J201" s="264" t="n">
        <v>45</v>
      </c>
      <c r="K201" s="264" t="s">
        <v>62</v>
      </c>
      <c r="L201" s="265" t="n">
        <f aca="false">IF(J201="",0,(J201/J202)*100)</f>
        <v>100</v>
      </c>
      <c r="M201" s="263" t="n">
        <v>1</v>
      </c>
      <c r="N201" s="266" t="n">
        <v>6</v>
      </c>
      <c r="O201" s="135" t="n">
        <f aca="false">IF(M201=1,1,0)</f>
        <v>1</v>
      </c>
      <c r="P201" s="136" t="n">
        <f aca="false">IF(M201=2,1,0)</f>
        <v>0</v>
      </c>
      <c r="Q201" s="136" t="n">
        <f aca="false">IF(M201=3,1,0)</f>
        <v>0</v>
      </c>
      <c r="R201" s="137" t="n">
        <f aca="false">IF(M201=4,1,0)</f>
        <v>0</v>
      </c>
      <c r="S201" s="176"/>
      <c r="T201" s="173"/>
      <c r="U201" s="56"/>
    </row>
    <row r="202" customFormat="false" ht="20.1" hidden="true" customHeight="true" outlineLevel="1" collapsed="false">
      <c r="B202" s="56"/>
      <c r="C202" s="173"/>
      <c r="D202" s="173"/>
      <c r="E202" s="173"/>
      <c r="F202" s="178"/>
      <c r="G202" s="178"/>
      <c r="H202" s="173"/>
      <c r="I202" s="170" t="s">
        <v>94</v>
      </c>
      <c r="J202" s="141" t="n">
        <f aca="false">MAX(J198:J201)</f>
        <v>45</v>
      </c>
      <c r="K202" s="179"/>
      <c r="L202" s="176"/>
      <c r="M202" s="173"/>
      <c r="N202" s="144" t="s">
        <v>95</v>
      </c>
      <c r="O202" s="145" t="n">
        <f aca="false">SUM(O198:O201)</f>
        <v>1</v>
      </c>
      <c r="P202" s="146" t="n">
        <f aca="false">SUM(P198:P201)</f>
        <v>1</v>
      </c>
      <c r="Q202" s="145" t="n">
        <f aca="false">SUM(Q198:Q201)</f>
        <v>1</v>
      </c>
      <c r="R202" s="158" t="n">
        <f aca="false">SUM(R198:R201)</f>
        <v>1</v>
      </c>
      <c r="S202" s="180"/>
      <c r="T202" s="173"/>
      <c r="U202" s="56"/>
    </row>
    <row r="203" customFormat="false" ht="20.1" hidden="false" customHeight="true" outlineLevel="0" collapsed="false">
      <c r="B203" s="56"/>
      <c r="C203" s="173"/>
      <c r="D203" s="173"/>
      <c r="E203" s="173"/>
      <c r="F203" s="173"/>
      <c r="G203" s="173"/>
      <c r="H203" s="173"/>
      <c r="I203" s="173"/>
      <c r="J203" s="173"/>
      <c r="K203" s="173"/>
      <c r="L203" s="173"/>
      <c r="M203" s="173"/>
      <c r="N203" s="173"/>
      <c r="O203" s="173"/>
      <c r="P203" s="173"/>
      <c r="Q203" s="173"/>
      <c r="R203" s="173"/>
      <c r="S203" s="173"/>
      <c r="T203" s="173"/>
      <c r="U203" s="56"/>
    </row>
    <row r="204" customFormat="false" ht="20.1" hidden="false" customHeight="true" outlineLevel="0" collapsed="false">
      <c r="B204" s="56"/>
      <c r="D204" s="5"/>
      <c r="E204" s="5"/>
      <c r="F204" s="5"/>
      <c r="G204" s="5"/>
      <c r="H204" s="5"/>
      <c r="I204" s="5"/>
      <c r="J204" s="5"/>
      <c r="U204" s="56"/>
    </row>
    <row r="205" customFormat="false" ht="30" hidden="false" customHeight="true" outlineLevel="0" collapsed="false">
      <c r="B205" s="56"/>
      <c r="C205" s="181"/>
      <c r="D205" s="182" t="s">
        <v>152</v>
      </c>
      <c r="E205" s="182"/>
      <c r="F205" s="182"/>
      <c r="G205" s="182"/>
      <c r="H205" s="182"/>
      <c r="I205" s="182"/>
      <c r="J205" s="182"/>
      <c r="K205" s="182"/>
      <c r="L205" s="182"/>
      <c r="M205" s="182"/>
      <c r="N205" s="182"/>
      <c r="O205" s="182"/>
      <c r="P205" s="182"/>
      <c r="Q205" s="182"/>
      <c r="R205" s="182"/>
      <c r="S205" s="182"/>
      <c r="T205" s="181"/>
      <c r="U205" s="56"/>
    </row>
    <row r="206" customFormat="false" ht="50.1" hidden="false" customHeight="true" outlineLevel="0" collapsed="false">
      <c r="B206" s="56"/>
      <c r="C206" s="181"/>
      <c r="D206" s="183" t="s">
        <v>48</v>
      </c>
      <c r="E206" s="184" t="s">
        <v>49</v>
      </c>
      <c r="F206" s="185" t="s">
        <v>88</v>
      </c>
      <c r="G206" s="186" t="s">
        <v>101</v>
      </c>
      <c r="H206" s="187" t="s">
        <v>102</v>
      </c>
      <c r="I206" s="187"/>
      <c r="J206" s="188" t="s">
        <v>103</v>
      </c>
      <c r="K206" s="189" t="s">
        <v>104</v>
      </c>
      <c r="L206" s="185" t="s">
        <v>105</v>
      </c>
      <c r="M206" s="189" t="s">
        <v>106</v>
      </c>
      <c r="N206" s="185" t="s">
        <v>107</v>
      </c>
      <c r="O206" s="190"/>
      <c r="P206" s="191"/>
      <c r="Q206" s="191"/>
      <c r="R206" s="191"/>
      <c r="S206" s="184" t="s">
        <v>108</v>
      </c>
      <c r="T206" s="181"/>
      <c r="U206" s="56"/>
    </row>
    <row r="207" customFormat="false" ht="20.1" hidden="false" customHeight="true" outlineLevel="0" collapsed="false">
      <c r="B207" s="56"/>
      <c r="C207" s="181"/>
      <c r="D207" s="306" t="s">
        <v>37</v>
      </c>
      <c r="E207" s="268" t="s">
        <v>38</v>
      </c>
      <c r="F207" s="269" t="n">
        <f aca="false">K207*6+L207*3+M207*1+N207*0</f>
        <v>18</v>
      </c>
      <c r="G207" s="270" t="n">
        <v>0</v>
      </c>
      <c r="H207" s="270" t="s">
        <v>62</v>
      </c>
      <c r="I207" s="270"/>
      <c r="J207" s="269" t="n">
        <f aca="false">F207+G207</f>
        <v>18</v>
      </c>
      <c r="K207" s="269" t="n">
        <v>2</v>
      </c>
      <c r="L207" s="269" t="n">
        <v>2</v>
      </c>
      <c r="M207" s="269" t="n">
        <v>0</v>
      </c>
      <c r="N207" s="269" t="n">
        <v>0</v>
      </c>
      <c r="O207" s="271"/>
      <c r="P207" s="270"/>
      <c r="Q207" s="270"/>
      <c r="R207" s="270"/>
      <c r="S207" s="272" t="n">
        <f aca="false">(L174+L183+L192+L201)/4</f>
        <v>94.6862348178138</v>
      </c>
      <c r="T207" s="181"/>
      <c r="U207" s="56"/>
    </row>
    <row r="208" customFormat="false" ht="20.1" hidden="false" customHeight="true" outlineLevel="0" collapsed="false">
      <c r="B208" s="56"/>
      <c r="C208" s="181"/>
      <c r="D208" s="273" t="s">
        <v>35</v>
      </c>
      <c r="E208" s="274" t="s">
        <v>36</v>
      </c>
      <c r="F208" s="275" t="n">
        <f aca="false">K208*6+L208*3+M208*1+N208*0</f>
        <v>16</v>
      </c>
      <c r="G208" s="276" t="n">
        <v>0</v>
      </c>
      <c r="H208" s="276" t="s">
        <v>62</v>
      </c>
      <c r="I208" s="276"/>
      <c r="J208" s="275" t="n">
        <f aca="false">F208+G208</f>
        <v>16</v>
      </c>
      <c r="K208" s="275" t="n">
        <v>2</v>
      </c>
      <c r="L208" s="275" t="n">
        <v>1</v>
      </c>
      <c r="M208" s="275" t="n">
        <v>1</v>
      </c>
      <c r="N208" s="275" t="n">
        <v>0</v>
      </c>
      <c r="O208" s="277"/>
      <c r="P208" s="276"/>
      <c r="Q208" s="276"/>
      <c r="R208" s="276"/>
      <c r="S208" s="278" t="n">
        <f aca="false">(L173+L182+L191+L200)/4</f>
        <v>85.9183673469388</v>
      </c>
      <c r="T208" s="181"/>
      <c r="U208" s="56"/>
      <c r="Y208" s="279"/>
      <c r="Z208" s="279"/>
      <c r="AA208" s="280"/>
      <c r="AB208" s="280"/>
      <c r="AC208" s="281"/>
      <c r="AD208" s="281"/>
      <c r="AE208" s="281"/>
    </row>
    <row r="209" customFormat="false" ht="20.1" hidden="false" customHeight="true" outlineLevel="0" collapsed="false">
      <c r="B209" s="56"/>
      <c r="C209" s="181"/>
      <c r="D209" s="273" t="s">
        <v>33</v>
      </c>
      <c r="E209" s="274" t="s">
        <v>34</v>
      </c>
      <c r="F209" s="275" t="n">
        <f aca="false">K209*6+L209*3+M209*1+N209*0</f>
        <v>4</v>
      </c>
      <c r="G209" s="276" t="n">
        <v>0</v>
      </c>
      <c r="H209" s="276" t="s">
        <v>62</v>
      </c>
      <c r="I209" s="276"/>
      <c r="J209" s="275" t="n">
        <f aca="false">F209+G209</f>
        <v>4</v>
      </c>
      <c r="K209" s="275" t="n">
        <v>0</v>
      </c>
      <c r="L209" s="275" t="n">
        <v>1</v>
      </c>
      <c r="M209" s="275" t="n">
        <v>1</v>
      </c>
      <c r="N209" s="275" t="n">
        <v>2</v>
      </c>
      <c r="O209" s="277"/>
      <c r="P209" s="276"/>
      <c r="Q209" s="276"/>
      <c r="R209" s="276"/>
      <c r="S209" s="278" t="n">
        <f aca="false">(L172++L181+L190+L199)/4</f>
        <v>64.8785539856968</v>
      </c>
      <c r="T209" s="181"/>
      <c r="U209" s="56"/>
    </row>
    <row r="210" customFormat="false" ht="20.1" hidden="false" customHeight="true" outlineLevel="0" collapsed="false">
      <c r="B210" s="56"/>
      <c r="C210" s="181"/>
      <c r="D210" s="282" t="s">
        <v>30</v>
      </c>
      <c r="E210" s="283" t="s">
        <v>31</v>
      </c>
      <c r="F210" s="284" t="n">
        <f aca="false">K210*6+L210*3+M210*1+N210*0</f>
        <v>2</v>
      </c>
      <c r="G210" s="285" t="n">
        <v>0</v>
      </c>
      <c r="H210" s="285" t="s">
        <v>62</v>
      </c>
      <c r="I210" s="285"/>
      <c r="J210" s="284" t="n">
        <f aca="false">F210+G210</f>
        <v>2</v>
      </c>
      <c r="K210" s="284" t="n">
        <v>0</v>
      </c>
      <c r="L210" s="284" t="n">
        <v>0</v>
      </c>
      <c r="M210" s="284" t="n">
        <v>2</v>
      </c>
      <c r="N210" s="284" t="n">
        <v>2</v>
      </c>
      <c r="O210" s="286"/>
      <c r="P210" s="285"/>
      <c r="Q210" s="285"/>
      <c r="R210" s="285"/>
      <c r="S210" s="287" t="n">
        <f aca="false">(L171+L180+L189+L198)/4</f>
        <v>62.0640945311998</v>
      </c>
      <c r="T210" s="181"/>
      <c r="U210" s="56"/>
    </row>
    <row r="211" customFormat="false" ht="20.1" hidden="false" customHeight="true" outlineLevel="0" collapsed="false">
      <c r="B211" s="56"/>
      <c r="C211" s="181"/>
      <c r="D211" s="307"/>
      <c r="E211" s="307"/>
      <c r="F211" s="288"/>
      <c r="G211" s="289"/>
      <c r="H211" s="290"/>
      <c r="I211" s="290"/>
      <c r="J211" s="288"/>
      <c r="K211" s="288"/>
      <c r="L211" s="288"/>
      <c r="M211" s="288"/>
      <c r="N211" s="288"/>
      <c r="O211" s="291"/>
      <c r="P211" s="289"/>
      <c r="Q211" s="289"/>
      <c r="R211" s="289"/>
      <c r="S211" s="292"/>
      <c r="T211" s="181"/>
      <c r="U211" s="56"/>
    </row>
    <row r="212" customFormat="false" ht="20.1" hidden="false" customHeight="true" outlineLevel="0" collapsed="false">
      <c r="B212" s="56"/>
      <c r="C212" s="56"/>
      <c r="D212" s="213"/>
      <c r="E212" s="213"/>
      <c r="F212" s="164"/>
      <c r="G212" s="164"/>
      <c r="H212" s="213"/>
      <c r="I212" s="213"/>
      <c r="J212" s="213"/>
      <c r="K212" s="56"/>
      <c r="L212" s="56"/>
      <c r="M212" s="56"/>
      <c r="N212" s="56"/>
      <c r="O212" s="56"/>
      <c r="P212" s="56"/>
      <c r="Q212" s="56"/>
      <c r="R212" s="56"/>
      <c r="S212" s="56"/>
      <c r="T212" s="56"/>
      <c r="U212" s="56"/>
    </row>
    <row r="213" customFormat="false" ht="20.1" hidden="false" customHeight="true" outlineLevel="0" collapsed="false"/>
  </sheetData>
  <mergeCells count="225">
    <mergeCell ref="A1:N2"/>
    <mergeCell ref="B4:H4"/>
    <mergeCell ref="J4:L4"/>
    <mergeCell ref="B5:C5"/>
    <mergeCell ref="B6:C6"/>
    <mergeCell ref="K6:K9"/>
    <mergeCell ref="B7:C7"/>
    <mergeCell ref="B8:C8"/>
    <mergeCell ref="B9:C9"/>
    <mergeCell ref="B10:C10"/>
    <mergeCell ref="K10:K13"/>
    <mergeCell ref="B11:C11"/>
    <mergeCell ref="B12:C12"/>
    <mergeCell ref="B13:C13"/>
    <mergeCell ref="B14:C14"/>
    <mergeCell ref="K14:K17"/>
    <mergeCell ref="B15:C15"/>
    <mergeCell ref="B16:C16"/>
    <mergeCell ref="B17:C17"/>
    <mergeCell ref="J18:K18"/>
    <mergeCell ref="B19:G19"/>
    <mergeCell ref="B20:C20"/>
    <mergeCell ref="B21:C21"/>
    <mergeCell ref="B22:C22"/>
    <mergeCell ref="C25:T25"/>
    <mergeCell ref="D27:D28"/>
    <mergeCell ref="E27:E28"/>
    <mergeCell ref="F27:F28"/>
    <mergeCell ref="G27:J27"/>
    <mergeCell ref="L27:S27"/>
    <mergeCell ref="I28:J28"/>
    <mergeCell ref="N28:S28"/>
    <mergeCell ref="D29:D31"/>
    <mergeCell ref="E29:E31"/>
    <mergeCell ref="F29:F31"/>
    <mergeCell ref="G29:G31"/>
    <mergeCell ref="H29:H31"/>
    <mergeCell ref="I29:J29"/>
    <mergeCell ref="K29:K31"/>
    <mergeCell ref="L29:L31"/>
    <mergeCell ref="M29:M31"/>
    <mergeCell ref="N29:S31"/>
    <mergeCell ref="I30:J30"/>
    <mergeCell ref="I31:J31"/>
    <mergeCell ref="D32:D34"/>
    <mergeCell ref="E32:E34"/>
    <mergeCell ref="F32:F34"/>
    <mergeCell ref="G32:G34"/>
    <mergeCell ref="H32:H34"/>
    <mergeCell ref="I32:J32"/>
    <mergeCell ref="K32:K34"/>
    <mergeCell ref="L32:L34"/>
    <mergeCell ref="M32:M34"/>
    <mergeCell ref="N32:S34"/>
    <mergeCell ref="I33:J33"/>
    <mergeCell ref="I34:J34"/>
    <mergeCell ref="D35:D36"/>
    <mergeCell ref="E35:E36"/>
    <mergeCell ref="F35:F36"/>
    <mergeCell ref="G35:G36"/>
    <mergeCell ref="H35:H36"/>
    <mergeCell ref="I35:J35"/>
    <mergeCell ref="K35:K36"/>
    <mergeCell ref="L35:L36"/>
    <mergeCell ref="M35:M36"/>
    <mergeCell ref="N35:S36"/>
    <mergeCell ref="I36:J36"/>
    <mergeCell ref="D37:D39"/>
    <mergeCell ref="E37:E39"/>
    <mergeCell ref="F37:F39"/>
    <mergeCell ref="G37:G39"/>
    <mergeCell ref="H37:H39"/>
    <mergeCell ref="I37:J37"/>
    <mergeCell ref="K37:K39"/>
    <mergeCell ref="L37:L39"/>
    <mergeCell ref="M37:M39"/>
    <mergeCell ref="N37:S37"/>
    <mergeCell ref="I38:J38"/>
    <mergeCell ref="N38:S38"/>
    <mergeCell ref="I39:J39"/>
    <mergeCell ref="N39:S39"/>
    <mergeCell ref="E41:N41"/>
    <mergeCell ref="F47:G47"/>
    <mergeCell ref="F48:G48"/>
    <mergeCell ref="E50:N50"/>
    <mergeCell ref="F56:G56"/>
    <mergeCell ref="E59:N59"/>
    <mergeCell ref="F65:G65"/>
    <mergeCell ref="E68:N68"/>
    <mergeCell ref="F74:G74"/>
    <mergeCell ref="D77:S77"/>
    <mergeCell ref="H78:I78"/>
    <mergeCell ref="H79:I79"/>
    <mergeCell ref="H80:I80"/>
    <mergeCell ref="H81:I81"/>
    <mergeCell ref="H82:I82"/>
    <mergeCell ref="H83:I83"/>
    <mergeCell ref="C88:T88"/>
    <mergeCell ref="D90:D91"/>
    <mergeCell ref="E90:E91"/>
    <mergeCell ref="F90:F91"/>
    <mergeCell ref="G90:J90"/>
    <mergeCell ref="L90:S90"/>
    <mergeCell ref="I91:J91"/>
    <mergeCell ref="N91:S91"/>
    <mergeCell ref="D92:D95"/>
    <mergeCell ref="E92:E95"/>
    <mergeCell ref="F92:F95"/>
    <mergeCell ref="G92:G95"/>
    <mergeCell ref="H92:H95"/>
    <mergeCell ref="I92:J92"/>
    <mergeCell ref="K92:K95"/>
    <mergeCell ref="L92:L95"/>
    <mergeCell ref="M92:M95"/>
    <mergeCell ref="N92:S95"/>
    <mergeCell ref="I93:J93"/>
    <mergeCell ref="I94:J94"/>
    <mergeCell ref="I95:J95"/>
    <mergeCell ref="I96:J96"/>
    <mergeCell ref="N96:S96"/>
    <mergeCell ref="I97:J97"/>
    <mergeCell ref="N97:S97"/>
    <mergeCell ref="D98:D99"/>
    <mergeCell ref="E98:E99"/>
    <mergeCell ref="F98:F99"/>
    <mergeCell ref="G98:G99"/>
    <mergeCell ref="H98:H99"/>
    <mergeCell ref="I98:J98"/>
    <mergeCell ref="K98:K99"/>
    <mergeCell ref="L98:L99"/>
    <mergeCell ref="M98:M99"/>
    <mergeCell ref="N98:S99"/>
    <mergeCell ref="I99:J99"/>
    <mergeCell ref="E101:N101"/>
    <mergeCell ref="F107:G107"/>
    <mergeCell ref="E110:N110"/>
    <mergeCell ref="F116:G116"/>
    <mergeCell ref="E119:N119"/>
    <mergeCell ref="F125:G125"/>
    <mergeCell ref="E128:N128"/>
    <mergeCell ref="F134:G134"/>
    <mergeCell ref="D137:S137"/>
    <mergeCell ref="H138:I138"/>
    <mergeCell ref="H139:I139"/>
    <mergeCell ref="H140:I140"/>
    <mergeCell ref="Y140:Z140"/>
    <mergeCell ref="H141:I141"/>
    <mergeCell ref="H142:I142"/>
    <mergeCell ref="H143:I143"/>
    <mergeCell ref="C148:T148"/>
    <mergeCell ref="D150:D151"/>
    <mergeCell ref="E150:E151"/>
    <mergeCell ref="F150:F151"/>
    <mergeCell ref="G150:J150"/>
    <mergeCell ref="L150:S150"/>
    <mergeCell ref="I151:J151"/>
    <mergeCell ref="N151:S151"/>
    <mergeCell ref="D152:D154"/>
    <mergeCell ref="E152:E154"/>
    <mergeCell ref="F152:F154"/>
    <mergeCell ref="G152:G154"/>
    <mergeCell ref="H152:H154"/>
    <mergeCell ref="I152:J152"/>
    <mergeCell ref="K152:K154"/>
    <mergeCell ref="L152:L154"/>
    <mergeCell ref="M152:M154"/>
    <mergeCell ref="N152:S154"/>
    <mergeCell ref="I153:J153"/>
    <mergeCell ref="I154:J154"/>
    <mergeCell ref="D155:D158"/>
    <mergeCell ref="E155:E158"/>
    <mergeCell ref="F155:F158"/>
    <mergeCell ref="G155:G158"/>
    <mergeCell ref="H155:H158"/>
    <mergeCell ref="I155:J155"/>
    <mergeCell ref="K155:K158"/>
    <mergeCell ref="L155:L158"/>
    <mergeCell ref="M155:M158"/>
    <mergeCell ref="N155:S158"/>
    <mergeCell ref="I156:J156"/>
    <mergeCell ref="I157:J157"/>
    <mergeCell ref="I158:J158"/>
    <mergeCell ref="D159:D161"/>
    <mergeCell ref="E159:E161"/>
    <mergeCell ref="F159:F161"/>
    <mergeCell ref="G159:G161"/>
    <mergeCell ref="H159:H161"/>
    <mergeCell ref="I159:J159"/>
    <mergeCell ref="K159:K161"/>
    <mergeCell ref="L159:L161"/>
    <mergeCell ref="M159:M161"/>
    <mergeCell ref="N159:S161"/>
    <mergeCell ref="I160:J160"/>
    <mergeCell ref="I161:J161"/>
    <mergeCell ref="D162:D167"/>
    <mergeCell ref="E162:E167"/>
    <mergeCell ref="F162:F167"/>
    <mergeCell ref="G162:G167"/>
    <mergeCell ref="H162:H167"/>
    <mergeCell ref="I162:J162"/>
    <mergeCell ref="K162:K167"/>
    <mergeCell ref="L162:L167"/>
    <mergeCell ref="M162:M167"/>
    <mergeCell ref="N162:S167"/>
    <mergeCell ref="I163:J163"/>
    <mergeCell ref="I164:J164"/>
    <mergeCell ref="I165:J165"/>
    <mergeCell ref="I166:J166"/>
    <mergeCell ref="I167:J167"/>
    <mergeCell ref="E169:N169"/>
    <mergeCell ref="F175:G175"/>
    <mergeCell ref="E178:N178"/>
    <mergeCell ref="F184:G184"/>
    <mergeCell ref="E187:N187"/>
    <mergeCell ref="F193:G193"/>
    <mergeCell ref="E196:N196"/>
    <mergeCell ref="F202:G202"/>
    <mergeCell ref="D205:S205"/>
    <mergeCell ref="H206:I206"/>
    <mergeCell ref="H207:I207"/>
    <mergeCell ref="H208:I208"/>
    <mergeCell ref="Y208:Z208"/>
    <mergeCell ref="H209:I209"/>
    <mergeCell ref="H210:I210"/>
    <mergeCell ref="H211:I211"/>
  </mergeCells>
  <conditionalFormatting sqref="B17:C17 D21:G22 D17:H18 B6:H16">
    <cfRule type="expression" priority="2" aboveAverage="0" equalAverage="0" bottom="0" percent="0" rank="0" text="" dxfId="0">
      <formula>$H6="Nein"</formula>
    </cfRule>
    <cfRule type="expression" priority="3" aboveAverage="0" equalAverage="0" bottom="0" percent="0" rank="0" text="" dxfId="1">
      <formula>$H6="Ja"</formula>
    </cfRule>
  </conditionalFormatting>
  <conditionalFormatting sqref="D211:E211">
    <cfRule type="expression" priority="4" aboveAverage="0" equalAverage="0" bottom="0" percent="0" rank="0" text="" dxfId="2">
      <formula>$I211="Nein"</formula>
    </cfRule>
    <cfRule type="expression" priority="5" aboveAverage="0" equalAverage="0" bottom="0" percent="0" rank="0" text="" dxfId="3">
      <formula>$I211="Ja"</formula>
    </cfRule>
  </conditionalFormatting>
  <conditionalFormatting sqref="D83:E83">
    <cfRule type="expression" priority="6" aboveAverage="0" equalAverage="0" bottom="0" percent="0" rank="0" text="" dxfId="4">
      <formula>$I83="Nein"</formula>
    </cfRule>
    <cfRule type="expression" priority="7" aboveAverage="0" equalAverage="0" bottom="0" percent="0" rank="0" text="" dxfId="5">
      <formula>$I83="Ja"</formula>
    </cfRule>
  </conditionalFormatting>
  <conditionalFormatting sqref="D143:E143">
    <cfRule type="expression" priority="8" aboveAverage="0" equalAverage="0" bottom="0" percent="0" rank="0" text="" dxfId="6">
      <formula>$I143="Nein"</formula>
    </cfRule>
    <cfRule type="expression" priority="9" aboveAverage="0" equalAverage="0" bottom="0" percent="0" rank="0" text="" dxfId="7">
      <formula>$I143="Ja"</formula>
    </cfRule>
  </conditionalFormatting>
  <conditionalFormatting sqref="D79:E79">
    <cfRule type="expression" priority="10" aboveAverage="0" equalAverage="0" bottom="0" percent="0" rank="0" text="" dxfId="8">
      <formula>$H79="Nein"</formula>
    </cfRule>
    <cfRule type="expression" priority="11" aboveAverage="0" equalAverage="0" bottom="0" percent="0" rank="0" text="" dxfId="9">
      <formula>$H79="Ja"</formula>
    </cfRule>
  </conditionalFormatting>
  <conditionalFormatting sqref="D80:E80">
    <cfRule type="expression" priority="12" aboveAverage="0" equalAverage="0" bottom="0" percent="0" rank="0" text="" dxfId="10">
      <formula>$H80="Nein"</formula>
    </cfRule>
    <cfRule type="expression" priority="13" aboveAverage="0" equalAverage="0" bottom="0" percent="0" rank="0" text="" dxfId="11">
      <formula>$H80="Ja"</formula>
    </cfRule>
  </conditionalFormatting>
  <conditionalFormatting sqref="D82:E82">
    <cfRule type="expression" priority="14" aboveAverage="0" equalAverage="0" bottom="0" percent="0" rank="0" text="" dxfId="12">
      <formula>$H82="Nein"</formula>
    </cfRule>
    <cfRule type="expression" priority="15" aboveAverage="0" equalAverage="0" bottom="0" percent="0" rank="0" text="" dxfId="13">
      <formula>$H82="Ja"</formula>
    </cfRule>
  </conditionalFormatting>
  <conditionalFormatting sqref="D81:E81">
    <cfRule type="expression" priority="16" aboveAverage="0" equalAverage="0" bottom="0" percent="0" rank="0" text="" dxfId="14">
      <formula>$H81="Nein"</formula>
    </cfRule>
    <cfRule type="expression" priority="17" aboveAverage="0" equalAverage="0" bottom="0" percent="0" rank="0" text="" dxfId="15">
      <formula>$H81="Ja"</formula>
    </cfRule>
  </conditionalFormatting>
  <conditionalFormatting sqref="D207:E207">
    <cfRule type="expression" priority="18" aboveAverage="0" equalAverage="0" bottom="0" percent="0" rank="0" text="" dxfId="16">
      <formula>$H207="Nein"</formula>
    </cfRule>
    <cfRule type="expression" priority="19" aboveAverage="0" equalAverage="0" bottom="0" percent="0" rank="0" text="" dxfId="17">
      <formula>$H207="Ja"</formula>
    </cfRule>
  </conditionalFormatting>
  <conditionalFormatting sqref="D208:E208">
    <cfRule type="expression" priority="20" aboveAverage="0" equalAverage="0" bottom="0" percent="0" rank="0" text="" dxfId="18">
      <formula>$H208="Nein"</formula>
    </cfRule>
    <cfRule type="expression" priority="21" aboveAverage="0" equalAverage="0" bottom="0" percent="0" rank="0" text="" dxfId="19">
      <formula>$H208="Ja"</formula>
    </cfRule>
  </conditionalFormatting>
  <conditionalFormatting sqref="D210:E210">
    <cfRule type="expression" priority="22" aboveAverage="0" equalAverage="0" bottom="0" percent="0" rank="0" text="" dxfId="20">
      <formula>$H210="Nein"</formula>
    </cfRule>
    <cfRule type="expression" priority="23" aboveAverage="0" equalAverage="0" bottom="0" percent="0" rank="0" text="" dxfId="21">
      <formula>$H210="Ja"</formula>
    </cfRule>
  </conditionalFormatting>
  <conditionalFormatting sqref="D209:E209">
    <cfRule type="expression" priority="24" aboveAverage="0" equalAverage="0" bottom="0" percent="0" rank="0" text="" dxfId="22">
      <formula>$H209="Nein"</formula>
    </cfRule>
    <cfRule type="expression" priority="25" aboveAverage="0" equalAverage="0" bottom="0" percent="0" rank="0" text="" dxfId="23">
      <formula>$H209="Ja"</formula>
    </cfRule>
  </conditionalFormatting>
  <conditionalFormatting sqref="D139:E139">
    <cfRule type="expression" priority="26" aboveAverage="0" equalAverage="0" bottom="0" percent="0" rank="0" text="" dxfId="24">
      <formula>$H139="Nein"</formula>
    </cfRule>
    <cfRule type="expression" priority="27" aboveAverage="0" equalAverage="0" bottom="0" percent="0" rank="0" text="" dxfId="25">
      <formula>$H139="Ja"</formula>
    </cfRule>
  </conditionalFormatting>
  <conditionalFormatting sqref="D140:E140">
    <cfRule type="expression" priority="28" aboveAverage="0" equalAverage="0" bottom="0" percent="0" rank="0" text="" dxfId="26">
      <formula>$H140="Nein"</formula>
    </cfRule>
    <cfRule type="expression" priority="29" aboveAverage="0" equalAverage="0" bottom="0" percent="0" rank="0" text="" dxfId="27">
      <formula>$H140="Ja"</formula>
    </cfRule>
  </conditionalFormatting>
  <conditionalFormatting sqref="D142:E142">
    <cfRule type="expression" priority="30" aboveAverage="0" equalAverage="0" bottom="0" percent="0" rank="0" text="" dxfId="28">
      <formula>$H142="Nein"</formula>
    </cfRule>
    <cfRule type="expression" priority="31" aboveAverage="0" equalAverage="0" bottom="0" percent="0" rank="0" text="" dxfId="29">
      <formula>$H142="Ja"</formula>
    </cfRule>
  </conditionalFormatting>
  <conditionalFormatting sqref="D141:E141">
    <cfRule type="expression" priority="32" aboveAverage="0" equalAverage="0" bottom="0" percent="0" rank="0" text="" dxfId="30">
      <formula>$H141="Nein"</formula>
    </cfRule>
    <cfRule type="expression" priority="33" aboveAverage="0" equalAverage="0" bottom="0" percent="0" rank="0" text="" dxfId="31">
      <formula>$H141="Ja"</formula>
    </cfRule>
  </conditionalFormatting>
  <conditionalFormatting sqref="E43:F46">
    <cfRule type="expression" priority="34" aboveAverage="0" equalAverage="0" bottom="0" percent="0" rank="0" text="" dxfId="32">
      <formula>$H43="Nein"</formula>
    </cfRule>
    <cfRule type="expression" priority="35" aboveAverage="0" equalAverage="0" bottom="0" percent="0" rank="0" text="" dxfId="33">
      <formula>$H43="Ja"</formula>
    </cfRule>
  </conditionalFormatting>
  <conditionalFormatting sqref="E52:F55">
    <cfRule type="expression" priority="36" aboveAverage="0" equalAverage="0" bottom="0" percent="0" rank="0" text="" dxfId="34">
      <formula>$H52="Nein"</formula>
    </cfRule>
    <cfRule type="expression" priority="37" aboveAverage="0" equalAverage="0" bottom="0" percent="0" rank="0" text="" dxfId="35">
      <formula>$H52="Ja"</formula>
    </cfRule>
  </conditionalFormatting>
  <conditionalFormatting sqref="E61:F64">
    <cfRule type="expression" priority="38" aboveAverage="0" equalAverage="0" bottom="0" percent="0" rank="0" text="" dxfId="36">
      <formula>$H61="Nein"</formula>
    </cfRule>
    <cfRule type="expression" priority="39" aboveAverage="0" equalAverage="0" bottom="0" percent="0" rank="0" text="" dxfId="37">
      <formula>$H61="Ja"</formula>
    </cfRule>
  </conditionalFormatting>
  <conditionalFormatting sqref="E70:F73">
    <cfRule type="expression" priority="40" aboveAverage="0" equalAverage="0" bottom="0" percent="0" rank="0" text="" dxfId="38">
      <formula>$H70="Nein"</formula>
    </cfRule>
    <cfRule type="expression" priority="41" aboveAverage="0" equalAverage="0" bottom="0" percent="0" rank="0" text="" dxfId="39">
      <formula>$H70="Ja"</formula>
    </cfRule>
  </conditionalFormatting>
  <conditionalFormatting sqref="E103:F106">
    <cfRule type="expression" priority="42" aboveAverage="0" equalAverage="0" bottom="0" percent="0" rank="0" text="" dxfId="40">
      <formula>$H103="Nein"</formula>
    </cfRule>
    <cfRule type="expression" priority="43" aboveAverage="0" equalAverage="0" bottom="0" percent="0" rank="0" text="" dxfId="41">
      <formula>$H103="Ja"</formula>
    </cfRule>
  </conditionalFormatting>
  <conditionalFormatting sqref="E112:F115">
    <cfRule type="expression" priority="44" aboveAverage="0" equalAverage="0" bottom="0" percent="0" rank="0" text="" dxfId="42">
      <formula>$H112="Nein"</formula>
    </cfRule>
    <cfRule type="expression" priority="45" aboveAverage="0" equalAverage="0" bottom="0" percent="0" rank="0" text="" dxfId="43">
      <formula>$H112="Ja"</formula>
    </cfRule>
  </conditionalFormatting>
  <conditionalFormatting sqref="E121:F124">
    <cfRule type="expression" priority="46" aboveAverage="0" equalAverage="0" bottom="0" percent="0" rank="0" text="" dxfId="44">
      <formula>$H121="Nein"</formula>
    </cfRule>
    <cfRule type="expression" priority="47" aboveAverage="0" equalAverage="0" bottom="0" percent="0" rank="0" text="" dxfId="45">
      <formula>$H121="Ja"</formula>
    </cfRule>
  </conditionalFormatting>
  <conditionalFormatting sqref="E130:F133">
    <cfRule type="expression" priority="48" aboveAverage="0" equalAverage="0" bottom="0" percent="0" rank="0" text="" dxfId="46">
      <formula>$H130="Nein"</formula>
    </cfRule>
    <cfRule type="expression" priority="49" aboveAverage="0" equalAverage="0" bottom="0" percent="0" rank="0" text="" dxfId="47">
      <formula>$H130="Ja"</formula>
    </cfRule>
  </conditionalFormatting>
  <conditionalFormatting sqref="E171:F174">
    <cfRule type="expression" priority="50" aboveAverage="0" equalAverage="0" bottom="0" percent="0" rank="0" text="" dxfId="48">
      <formula>$H171="Nein"</formula>
    </cfRule>
    <cfRule type="expression" priority="51" aboveAverage="0" equalAverage="0" bottom="0" percent="0" rank="0" text="" dxfId="49">
      <formula>$H171="Ja"</formula>
    </cfRule>
  </conditionalFormatting>
  <conditionalFormatting sqref="E180:F183">
    <cfRule type="expression" priority="52" aboveAverage="0" equalAverage="0" bottom="0" percent="0" rank="0" text="" dxfId="50">
      <formula>$H180="Nein"</formula>
    </cfRule>
    <cfRule type="expression" priority="53" aboveAverage="0" equalAverage="0" bottom="0" percent="0" rank="0" text="" dxfId="51">
      <formula>$H180="Ja"</formula>
    </cfRule>
  </conditionalFormatting>
  <conditionalFormatting sqref="E189:F192">
    <cfRule type="expression" priority="54" aboveAverage="0" equalAverage="0" bottom="0" percent="0" rank="0" text="" dxfId="52">
      <formula>$H189="Nein"</formula>
    </cfRule>
    <cfRule type="expression" priority="55" aboveAverage="0" equalAverage="0" bottom="0" percent="0" rank="0" text="" dxfId="53">
      <formula>$H189="Ja"</formula>
    </cfRule>
  </conditionalFormatting>
  <conditionalFormatting sqref="E198:F201">
    <cfRule type="expression" priority="56" aboveAverage="0" equalAverage="0" bottom="0" percent="0" rank="0" text="" dxfId="54">
      <formula>$H198="Nein"</formula>
    </cfRule>
    <cfRule type="expression" priority="57" aboveAverage="0" equalAverage="0" bottom="0" percent="0" rank="0" text="" dxfId="55">
      <formula>$H198="Ja"</formula>
    </cfRule>
  </conditionalFormatting>
  <dataValidations count="1">
    <dataValidation allowBlank="true" operator="between" showDropDown="false" showErrorMessage="true" showInputMessage="true" sqref="H6:H18"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247"/>
  <sheetViews>
    <sheetView showFormulas="false" showGridLines="false" showRowColHeaders="true" showZeros="true" rightToLeft="false" tabSelected="false" showOutlineSymbols="true" defaultGridColor="true" view="normal" topLeftCell="A61" colorId="64" zoomScale="100" zoomScaleNormal="100" zoomScalePageLayoutView="100" workbookViewId="0">
      <selection pane="topLeft" activeCell="L77" activeCellId="0" sqref="L77"/>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6"/>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2" t="s">
        <v>153</v>
      </c>
      <c r="B1" s="2"/>
      <c r="C1" s="2"/>
      <c r="D1" s="2"/>
      <c r="E1" s="2"/>
      <c r="F1" s="2"/>
      <c r="G1" s="2"/>
      <c r="H1" s="2"/>
      <c r="I1" s="2"/>
      <c r="J1" s="2"/>
      <c r="K1" s="2"/>
      <c r="L1" s="2"/>
      <c r="M1" s="2"/>
      <c r="N1" s="2"/>
    </row>
    <row r="2" customFormat="false" ht="15" hidden="false" customHeight="false" outlineLevel="0" collapsed="false">
      <c r="A2" s="2"/>
      <c r="B2" s="2"/>
      <c r="C2" s="2"/>
      <c r="D2" s="2"/>
      <c r="E2" s="2"/>
      <c r="F2" s="2"/>
      <c r="G2" s="2"/>
      <c r="H2" s="2"/>
      <c r="I2" s="2"/>
      <c r="J2" s="2"/>
      <c r="K2" s="2"/>
      <c r="L2" s="2"/>
      <c r="M2" s="2"/>
      <c r="N2" s="2"/>
    </row>
    <row r="3" customFormat="false" ht="20.1" hidden="false" customHeight="true" outlineLevel="0" collapsed="false"/>
    <row r="4" customFormat="false" ht="15.75" hidden="false" customHeight="false" outlineLevel="0" collapsed="false">
      <c r="B4" s="3" t="s">
        <v>154</v>
      </c>
      <c r="C4" s="3"/>
      <c r="D4" s="3"/>
      <c r="E4" s="3"/>
      <c r="F4" s="3"/>
      <c r="G4" s="3"/>
      <c r="H4" s="3"/>
      <c r="J4" s="3" t="s">
        <v>2</v>
      </c>
      <c r="K4" s="3"/>
      <c r="L4" s="3"/>
      <c r="O4" s="4"/>
      <c r="P4" s="4"/>
      <c r="Q4" s="4"/>
      <c r="R4" s="5"/>
      <c r="S4" s="4"/>
      <c r="T4" s="4"/>
      <c r="U4" s="4"/>
      <c r="V4" s="4"/>
    </row>
    <row r="5" customFormat="false" ht="50.1" hidden="false" customHeight="true" outlineLevel="0" collapsed="false">
      <c r="B5" s="6" t="s">
        <v>155</v>
      </c>
      <c r="C5" s="6"/>
      <c r="D5" s="7" t="s">
        <v>4</v>
      </c>
      <c r="E5" s="8" t="s">
        <v>5</v>
      </c>
      <c r="F5" s="8" t="s">
        <v>6</v>
      </c>
      <c r="G5" s="9" t="s">
        <v>7</v>
      </c>
      <c r="H5" s="8" t="s">
        <v>156</v>
      </c>
      <c r="J5" s="10" t="s">
        <v>4</v>
      </c>
      <c r="K5" s="11" t="s">
        <v>9</v>
      </c>
      <c r="L5" s="12" t="s">
        <v>10</v>
      </c>
      <c r="O5" s="5"/>
      <c r="Q5" s="4"/>
      <c r="R5" s="4"/>
      <c r="S5" s="4"/>
      <c r="T5" s="5"/>
      <c r="U5" s="5"/>
    </row>
    <row r="6" customFormat="false" ht="20.1" hidden="false" customHeight="true" outlineLevel="0" collapsed="false">
      <c r="B6" s="13" t="n">
        <v>1</v>
      </c>
      <c r="C6" s="13"/>
      <c r="D6" s="16" t="s">
        <v>17</v>
      </c>
      <c r="E6" s="16" t="s">
        <v>18</v>
      </c>
      <c r="F6" s="16" t="s">
        <v>19</v>
      </c>
      <c r="G6" s="16" t="s">
        <v>19</v>
      </c>
      <c r="H6" s="17" t="s">
        <v>14</v>
      </c>
      <c r="J6" s="18" t="str">
        <f aca="false">D6</f>
        <v>Judith Fulterer</v>
      </c>
      <c r="K6" s="19" t="n">
        <v>1</v>
      </c>
      <c r="L6" s="20" t="n">
        <v>1</v>
      </c>
      <c r="O6" s="21"/>
      <c r="T6" s="21"/>
      <c r="U6" s="21"/>
    </row>
    <row r="7" customFormat="false" ht="20.1" hidden="false" customHeight="true" outlineLevel="0" collapsed="false">
      <c r="B7" s="22" t="n">
        <v>2</v>
      </c>
      <c r="C7" s="22"/>
      <c r="D7" s="23" t="s">
        <v>15</v>
      </c>
      <c r="E7" s="23" t="s">
        <v>16</v>
      </c>
      <c r="F7" s="23" t="s">
        <v>16</v>
      </c>
      <c r="G7" s="23" t="s">
        <v>16</v>
      </c>
      <c r="H7" s="24" t="s">
        <v>14</v>
      </c>
      <c r="J7" s="25" t="str">
        <f aca="false">D7</f>
        <v>Devid Fulterer</v>
      </c>
      <c r="K7" s="19"/>
      <c r="L7" s="26" t="n">
        <v>2</v>
      </c>
      <c r="O7" s="21"/>
      <c r="T7" s="21"/>
      <c r="U7" s="21"/>
    </row>
    <row r="8" customFormat="false" ht="20.1" hidden="false" customHeight="true" outlineLevel="0" collapsed="false">
      <c r="B8" s="22" t="n">
        <v>3</v>
      </c>
      <c r="C8" s="22"/>
      <c r="D8" s="29" t="s">
        <v>11</v>
      </c>
      <c r="E8" s="29" t="s">
        <v>12</v>
      </c>
      <c r="F8" s="32" t="s">
        <v>12</v>
      </c>
      <c r="G8" s="23" t="s">
        <v>13</v>
      </c>
      <c r="H8" s="24" t="s">
        <v>14</v>
      </c>
      <c r="J8" s="25" t="str">
        <f aca="false">D8</f>
        <v>Bea Kittner</v>
      </c>
      <c r="K8" s="19"/>
      <c r="L8" s="26" t="n">
        <v>3</v>
      </c>
      <c r="O8" s="21"/>
      <c r="T8" s="21"/>
      <c r="U8" s="21"/>
    </row>
    <row r="9" customFormat="false" ht="20.1" hidden="false" customHeight="true" outlineLevel="0" collapsed="false">
      <c r="B9" s="22" t="n">
        <v>4</v>
      </c>
      <c r="C9" s="22"/>
      <c r="D9" s="29" t="s">
        <v>22</v>
      </c>
      <c r="E9" s="23" t="s">
        <v>23</v>
      </c>
      <c r="F9" s="30" t="s">
        <v>23</v>
      </c>
      <c r="G9" s="23" t="s">
        <v>23</v>
      </c>
      <c r="H9" s="24" t="s">
        <v>14</v>
      </c>
      <c r="J9" s="27" t="str">
        <f aca="false">D9</f>
        <v>Pauline Micke</v>
      </c>
      <c r="K9" s="19"/>
      <c r="L9" s="28" t="n">
        <v>4</v>
      </c>
      <c r="O9" s="21"/>
      <c r="T9" s="21"/>
      <c r="U9" s="21"/>
    </row>
    <row r="10" customFormat="false" ht="20.1" hidden="false" customHeight="true" outlineLevel="0" collapsed="false">
      <c r="B10" s="22" t="n">
        <v>5</v>
      </c>
      <c r="C10" s="22"/>
      <c r="D10" s="23" t="s">
        <v>20</v>
      </c>
      <c r="E10" s="23" t="s">
        <v>21</v>
      </c>
      <c r="F10" s="23" t="s">
        <v>21</v>
      </c>
      <c r="G10" s="23" t="s">
        <v>21</v>
      </c>
      <c r="H10" s="24" t="s">
        <v>14</v>
      </c>
      <c r="J10" s="18" t="str">
        <f aca="false">D10</f>
        <v>Andreas Micke</v>
      </c>
      <c r="K10" s="31" t="n">
        <v>2</v>
      </c>
      <c r="L10" s="20" t="n">
        <v>1</v>
      </c>
      <c r="O10" s="21"/>
      <c r="T10" s="21"/>
      <c r="U10" s="21"/>
    </row>
    <row r="11" customFormat="false" ht="20.1" hidden="false" customHeight="true" outlineLevel="0" collapsed="false">
      <c r="B11" s="22" t="n">
        <v>6</v>
      </c>
      <c r="C11" s="22"/>
      <c r="D11" s="33" t="s">
        <v>28</v>
      </c>
      <c r="E11" s="29" t="s">
        <v>29</v>
      </c>
      <c r="F11" s="32" t="s">
        <v>29</v>
      </c>
      <c r="G11" s="34" t="s">
        <v>13</v>
      </c>
      <c r="H11" s="24" t="s">
        <v>14</v>
      </c>
      <c r="J11" s="25" t="str">
        <f aca="false">D11</f>
        <v>Charlotte Schöpges</v>
      </c>
      <c r="K11" s="31"/>
      <c r="L11" s="26" t="n">
        <v>2</v>
      </c>
      <c r="O11" s="21"/>
      <c r="T11" s="21"/>
      <c r="U11" s="21"/>
    </row>
    <row r="12" customFormat="false" ht="20.1" hidden="false" customHeight="true" outlineLevel="0" collapsed="false">
      <c r="B12" s="22" t="n">
        <v>7</v>
      </c>
      <c r="C12" s="22"/>
      <c r="D12" s="29" t="s">
        <v>26</v>
      </c>
      <c r="E12" s="29" t="s">
        <v>27</v>
      </c>
      <c r="F12" s="32" t="s">
        <v>27</v>
      </c>
      <c r="G12" s="23" t="s">
        <v>27</v>
      </c>
      <c r="H12" s="24" t="s">
        <v>14</v>
      </c>
      <c r="J12" s="25" t="str">
        <f aca="false">D12</f>
        <v>Markus Hagenauer</v>
      </c>
      <c r="K12" s="31"/>
      <c r="L12" s="26" t="n">
        <v>3</v>
      </c>
      <c r="O12" s="21"/>
      <c r="T12" s="21"/>
      <c r="U12" s="21"/>
    </row>
    <row r="13" customFormat="false" ht="20.1" hidden="false" customHeight="true" outlineLevel="0" collapsed="false">
      <c r="B13" s="22" t="n">
        <v>8</v>
      </c>
      <c r="C13" s="22"/>
      <c r="D13" s="33" t="s">
        <v>37</v>
      </c>
      <c r="E13" s="29" t="s">
        <v>38</v>
      </c>
      <c r="F13" s="32" t="s">
        <v>38</v>
      </c>
      <c r="G13" s="34" t="s">
        <v>38</v>
      </c>
      <c r="H13" s="24" t="s">
        <v>14</v>
      </c>
      <c r="J13" s="27" t="str">
        <f aca="false">D13</f>
        <v>Marc Lambrecht</v>
      </c>
      <c r="K13" s="31"/>
      <c r="L13" s="28" t="n">
        <v>4</v>
      </c>
      <c r="O13" s="21"/>
      <c r="T13" s="21"/>
      <c r="U13" s="21"/>
    </row>
    <row r="14" customFormat="false" ht="20.1" hidden="false" customHeight="true" outlineLevel="0" collapsed="false">
      <c r="B14" s="22" t="n">
        <v>9</v>
      </c>
      <c r="C14" s="22"/>
      <c r="D14" s="23" t="s">
        <v>24</v>
      </c>
      <c r="E14" s="23" t="s">
        <v>25</v>
      </c>
      <c r="F14" s="23" t="s">
        <v>25</v>
      </c>
      <c r="G14" s="23" t="s">
        <v>25</v>
      </c>
      <c r="H14" s="24" t="s">
        <v>14</v>
      </c>
      <c r="J14" s="18" t="str">
        <f aca="false">D14</f>
        <v>Jonas Röhrig</v>
      </c>
      <c r="K14" s="19" t="n">
        <v>3</v>
      </c>
      <c r="L14" s="20" t="n">
        <v>1</v>
      </c>
      <c r="O14" s="21"/>
      <c r="T14" s="21"/>
      <c r="U14" s="21"/>
    </row>
    <row r="15" customFormat="false" ht="20.1" hidden="false" customHeight="true" outlineLevel="0" collapsed="false">
      <c r="B15" s="22" t="n">
        <v>10</v>
      </c>
      <c r="C15" s="22"/>
      <c r="D15" s="29" t="s">
        <v>35</v>
      </c>
      <c r="E15" s="29" t="s">
        <v>36</v>
      </c>
      <c r="F15" s="32" t="s">
        <v>36</v>
      </c>
      <c r="G15" s="23" t="s">
        <v>36</v>
      </c>
      <c r="H15" s="24" t="s">
        <v>14</v>
      </c>
      <c r="J15" s="25" t="str">
        <f aca="false">D15</f>
        <v>Daniel Zimmermann</v>
      </c>
      <c r="K15" s="19"/>
      <c r="L15" s="26" t="n">
        <v>2</v>
      </c>
      <c r="O15" s="21"/>
      <c r="T15" s="21"/>
      <c r="U15" s="21"/>
    </row>
    <row r="16" customFormat="false" ht="20.1" hidden="false" customHeight="true" outlineLevel="0" collapsed="false">
      <c r="B16" s="22" t="n">
        <v>11</v>
      </c>
      <c r="C16" s="22"/>
      <c r="D16" s="29" t="s">
        <v>33</v>
      </c>
      <c r="E16" s="29" t="s">
        <v>34</v>
      </c>
      <c r="F16" s="32" t="s">
        <v>34</v>
      </c>
      <c r="G16" s="23" t="s">
        <v>34</v>
      </c>
      <c r="H16" s="24" t="s">
        <v>14</v>
      </c>
      <c r="J16" s="43" t="str">
        <f aca="false">D16</f>
        <v>Kai Maibaum</v>
      </c>
      <c r="K16" s="19"/>
      <c r="L16" s="44" t="n">
        <v>3</v>
      </c>
      <c r="O16" s="21"/>
      <c r="T16" s="21"/>
      <c r="U16" s="21"/>
    </row>
    <row r="17" customFormat="false" ht="20.1" hidden="false" customHeight="true" outlineLevel="0" collapsed="false">
      <c r="B17" s="22" t="n">
        <v>12</v>
      </c>
      <c r="C17" s="22"/>
      <c r="D17" s="33" t="s">
        <v>42</v>
      </c>
      <c r="E17" s="29" t="s">
        <v>43</v>
      </c>
      <c r="F17" s="32" t="s">
        <v>43</v>
      </c>
      <c r="G17" s="34" t="s">
        <v>43</v>
      </c>
      <c r="H17" s="24" t="s">
        <v>32</v>
      </c>
      <c r="J17" s="308" t="str">
        <f aca="false">D17</f>
        <v>Jérôme Schätzle</v>
      </c>
      <c r="K17" s="309" t="n">
        <v>4</v>
      </c>
      <c r="L17" s="310" t="n">
        <v>1</v>
      </c>
      <c r="O17" s="21"/>
      <c r="T17" s="21"/>
      <c r="U17" s="21"/>
    </row>
    <row r="18" customFormat="false" ht="20.1" hidden="false" customHeight="true" outlineLevel="0" collapsed="false">
      <c r="B18" s="37" t="n">
        <v>13</v>
      </c>
      <c r="C18" s="37"/>
      <c r="D18" s="38" t="s">
        <v>44</v>
      </c>
      <c r="E18" s="39" t="s">
        <v>45</v>
      </c>
      <c r="F18" s="40" t="s">
        <v>46</v>
      </c>
      <c r="G18" s="41" t="s">
        <v>45</v>
      </c>
      <c r="H18" s="42" t="s">
        <v>32</v>
      </c>
      <c r="J18" s="87" t="str">
        <f aca="false">D18</f>
        <v>Lisa Schätzle</v>
      </c>
      <c r="K18" s="309"/>
      <c r="L18" s="28" t="n">
        <v>2</v>
      </c>
      <c r="O18" s="21"/>
      <c r="T18" s="21"/>
      <c r="U18" s="21"/>
    </row>
    <row r="19" customFormat="false" ht="20.1" hidden="false" customHeight="true" outlineLevel="0" collapsed="false">
      <c r="D19" s="311"/>
      <c r="E19" s="311"/>
      <c r="F19" s="312"/>
      <c r="G19" s="45"/>
      <c r="H19" s="311"/>
      <c r="J19" s="313"/>
      <c r="K19" s="314" t="s">
        <v>157</v>
      </c>
      <c r="L19" s="315" t="n">
        <f aca="false">ROWS(L6:L18)</f>
        <v>13</v>
      </c>
      <c r="N19" s="4"/>
      <c r="O19" s="4"/>
      <c r="Q19" s="4"/>
      <c r="R19" s="4"/>
      <c r="S19" s="4"/>
      <c r="T19" s="4"/>
    </row>
    <row r="20" customFormat="false" ht="15.75" hidden="false" customHeight="false" outlineLevel="0" collapsed="false">
      <c r="B20" s="3" t="s">
        <v>158</v>
      </c>
      <c r="C20" s="3"/>
      <c r="D20" s="3"/>
      <c r="E20" s="3"/>
      <c r="F20" s="3"/>
      <c r="G20" s="3"/>
      <c r="K20" s="49"/>
      <c r="L20" s="49"/>
      <c r="M20" s="49"/>
      <c r="N20" s="5"/>
      <c r="O20" s="4"/>
      <c r="P20" s="4"/>
      <c r="R20" s="4"/>
      <c r="S20" s="4"/>
      <c r="T20" s="4"/>
      <c r="U20" s="4"/>
    </row>
    <row r="21" customFormat="false" ht="30.75" hidden="false" customHeight="true" outlineLevel="0" collapsed="false">
      <c r="B21" s="6" t="s">
        <v>41</v>
      </c>
      <c r="C21" s="6"/>
      <c r="D21" s="50" t="s">
        <v>4</v>
      </c>
      <c r="E21" s="8" t="s">
        <v>5</v>
      </c>
      <c r="F21" s="8" t="s">
        <v>6</v>
      </c>
      <c r="G21" s="9" t="s">
        <v>7</v>
      </c>
      <c r="K21" s="49"/>
      <c r="L21" s="49"/>
      <c r="M21" s="49"/>
      <c r="N21" s="5"/>
      <c r="O21" s="4"/>
      <c r="P21" s="4"/>
      <c r="R21" s="4"/>
      <c r="S21" s="4"/>
      <c r="T21" s="4"/>
      <c r="U21" s="4"/>
    </row>
    <row r="22" customFormat="false" ht="20.1" hidden="false" customHeight="true" outlineLevel="0" collapsed="false">
      <c r="B22" s="316" t="n">
        <v>1</v>
      </c>
      <c r="C22" s="316"/>
      <c r="D22" s="317" t="s">
        <v>159</v>
      </c>
      <c r="E22" s="318" t="s">
        <v>160</v>
      </c>
      <c r="F22" s="319" t="s">
        <v>13</v>
      </c>
      <c r="G22" s="320" t="s">
        <v>13</v>
      </c>
      <c r="N22" s="4"/>
      <c r="O22" s="4"/>
      <c r="Q22" s="4"/>
      <c r="R22" s="4"/>
      <c r="S22" s="4"/>
      <c r="T22" s="4"/>
    </row>
    <row r="23" customFormat="false" ht="20.1" hidden="false" customHeight="true" outlineLevel="0" collapsed="false">
      <c r="L23" s="49"/>
      <c r="M23" s="49"/>
      <c r="N23" s="49"/>
      <c r="O23" s="5"/>
      <c r="P23" s="4"/>
      <c r="Q23" s="4"/>
      <c r="S23" s="4"/>
      <c r="T23" s="4"/>
      <c r="U23" s="4"/>
      <c r="V23" s="4"/>
    </row>
    <row r="24" customFormat="false" ht="20.1" hidden="false" customHeight="true" outlineLevel="0" collapsed="false">
      <c r="B24" s="56"/>
      <c r="C24" s="56"/>
      <c r="D24" s="57"/>
      <c r="E24" s="57"/>
      <c r="F24" s="57"/>
      <c r="G24" s="57"/>
      <c r="H24" s="56"/>
      <c r="I24" s="56"/>
      <c r="J24" s="56"/>
      <c r="K24" s="56"/>
      <c r="L24" s="56"/>
      <c r="M24" s="56"/>
      <c r="N24" s="56"/>
      <c r="O24" s="56"/>
      <c r="P24" s="56"/>
      <c r="Q24" s="56"/>
      <c r="R24" s="56"/>
      <c r="S24" s="56"/>
      <c r="T24" s="56"/>
      <c r="U24" s="56"/>
    </row>
    <row r="25" customFormat="false" ht="30" hidden="false" customHeight="true" outlineLevel="0" collapsed="false">
      <c r="B25" s="56"/>
      <c r="C25" s="58" t="s">
        <v>47</v>
      </c>
      <c r="D25" s="58"/>
      <c r="E25" s="58"/>
      <c r="F25" s="58"/>
      <c r="G25" s="58"/>
      <c r="H25" s="58"/>
      <c r="I25" s="58"/>
      <c r="J25" s="58"/>
      <c r="K25" s="58"/>
      <c r="L25" s="58"/>
      <c r="M25" s="58"/>
      <c r="N25" s="58"/>
      <c r="O25" s="58"/>
      <c r="P25" s="58"/>
      <c r="Q25" s="58"/>
      <c r="R25" s="58"/>
      <c r="S25" s="58"/>
      <c r="T25" s="58"/>
      <c r="U25" s="56"/>
    </row>
    <row r="26" customFormat="false" ht="20.1" hidden="false" customHeight="true" outlineLevel="0" collapsed="false">
      <c r="B26" s="56"/>
      <c r="U26" s="56"/>
    </row>
    <row r="27" customFormat="false" ht="20.1" hidden="false" customHeight="true" outlineLevel="0" collapsed="false">
      <c r="B27" s="56"/>
      <c r="D27" s="59" t="s">
        <v>48</v>
      </c>
      <c r="E27" s="60" t="s">
        <v>49</v>
      </c>
      <c r="F27" s="61" t="s">
        <v>10</v>
      </c>
      <c r="G27" s="60" t="s">
        <v>50</v>
      </c>
      <c r="H27" s="60"/>
      <c r="I27" s="60"/>
      <c r="J27" s="60"/>
      <c r="K27" s="60" t="s">
        <v>51</v>
      </c>
      <c r="L27" s="62" t="s">
        <v>52</v>
      </c>
      <c r="M27" s="62"/>
      <c r="N27" s="62"/>
      <c r="O27" s="62"/>
      <c r="P27" s="62"/>
      <c r="Q27" s="62"/>
      <c r="R27" s="62"/>
      <c r="S27" s="62"/>
      <c r="U27" s="56"/>
    </row>
    <row r="28" customFormat="false" ht="20.1" hidden="false" customHeight="true" outlineLevel="0" collapsed="false">
      <c r="B28" s="56"/>
      <c r="D28" s="59"/>
      <c r="E28" s="60"/>
      <c r="F28" s="60"/>
      <c r="G28" s="63" t="s">
        <v>53</v>
      </c>
      <c r="H28" s="63" t="s">
        <v>54</v>
      </c>
      <c r="I28" s="64" t="s">
        <v>55</v>
      </c>
      <c r="J28" s="64"/>
      <c r="K28" s="65" t="s">
        <v>56</v>
      </c>
      <c r="L28" s="65" t="s">
        <v>53</v>
      </c>
      <c r="M28" s="66" t="s">
        <v>57</v>
      </c>
      <c r="N28" s="61" t="s">
        <v>55</v>
      </c>
      <c r="O28" s="61"/>
      <c r="P28" s="61"/>
      <c r="Q28" s="61"/>
      <c r="R28" s="61"/>
      <c r="S28" s="61"/>
      <c r="U28" s="56"/>
    </row>
    <row r="29" customFormat="false" ht="15" hidden="false" customHeight="true" outlineLevel="0" collapsed="false">
      <c r="B29" s="56"/>
      <c r="D29" s="67" t="s">
        <v>17</v>
      </c>
      <c r="E29" s="14" t="s">
        <v>18</v>
      </c>
      <c r="F29" s="20" t="n">
        <v>1</v>
      </c>
      <c r="G29" s="68" t="s">
        <v>58</v>
      </c>
      <c r="H29" s="69" t="s">
        <v>67</v>
      </c>
      <c r="I29" s="70" t="s">
        <v>70</v>
      </c>
      <c r="J29" s="70"/>
      <c r="K29" s="321" t="s">
        <v>161</v>
      </c>
      <c r="L29" s="72" t="s">
        <v>62</v>
      </c>
      <c r="M29" s="73" t="s">
        <v>62</v>
      </c>
      <c r="N29" s="74" t="s">
        <v>62</v>
      </c>
      <c r="O29" s="74"/>
      <c r="P29" s="74"/>
      <c r="Q29" s="74"/>
      <c r="R29" s="74"/>
      <c r="S29" s="74"/>
      <c r="U29" s="56"/>
    </row>
    <row r="30" customFormat="false" ht="15" hidden="false" customHeight="true" outlineLevel="0" collapsed="false">
      <c r="B30" s="56"/>
      <c r="D30" s="67"/>
      <c r="E30" s="14"/>
      <c r="F30" s="20"/>
      <c r="G30" s="68"/>
      <c r="H30" s="69"/>
      <c r="I30" s="76" t="s">
        <v>73</v>
      </c>
      <c r="J30" s="76"/>
      <c r="K30" s="321"/>
      <c r="L30" s="72"/>
      <c r="M30" s="73"/>
      <c r="N30" s="74"/>
      <c r="O30" s="74"/>
      <c r="P30" s="74"/>
      <c r="Q30" s="74"/>
      <c r="R30" s="74"/>
      <c r="S30" s="74"/>
      <c r="U30" s="56"/>
    </row>
    <row r="31" customFormat="false" ht="14.45" hidden="false" customHeight="true" outlineLevel="0" collapsed="false">
      <c r="B31" s="56"/>
      <c r="D31" s="77" t="s">
        <v>15</v>
      </c>
      <c r="E31" s="30" t="s">
        <v>16</v>
      </c>
      <c r="F31" s="26" t="n">
        <v>2</v>
      </c>
      <c r="G31" s="78" t="s">
        <v>162</v>
      </c>
      <c r="H31" s="79" t="s">
        <v>163</v>
      </c>
      <c r="I31" s="80" t="s">
        <v>164</v>
      </c>
      <c r="J31" s="80"/>
      <c r="K31" s="322" t="s">
        <v>67</v>
      </c>
      <c r="L31" s="82" t="s">
        <v>62</v>
      </c>
      <c r="M31" s="83" t="s">
        <v>62</v>
      </c>
      <c r="N31" s="84" t="s">
        <v>62</v>
      </c>
      <c r="O31" s="84"/>
      <c r="P31" s="84"/>
      <c r="Q31" s="84"/>
      <c r="R31" s="84"/>
      <c r="S31" s="84"/>
      <c r="U31" s="56"/>
    </row>
    <row r="32" customFormat="false" ht="14.45" hidden="false" customHeight="true" outlineLevel="0" collapsed="false">
      <c r="B32" s="56"/>
      <c r="D32" s="77"/>
      <c r="E32" s="30"/>
      <c r="F32" s="26"/>
      <c r="G32" s="78"/>
      <c r="H32" s="79"/>
      <c r="I32" s="85" t="s">
        <v>165</v>
      </c>
      <c r="J32" s="85"/>
      <c r="K32" s="322"/>
      <c r="L32" s="82"/>
      <c r="M32" s="83"/>
      <c r="N32" s="84"/>
      <c r="O32" s="84"/>
      <c r="P32" s="84"/>
      <c r="Q32" s="84"/>
      <c r="R32" s="84"/>
      <c r="S32" s="84"/>
      <c r="U32" s="56"/>
    </row>
    <row r="33" customFormat="false" ht="14.45" hidden="false" customHeight="true" outlineLevel="0" collapsed="false">
      <c r="B33" s="56"/>
      <c r="D33" s="77"/>
      <c r="E33" s="30"/>
      <c r="F33" s="26"/>
      <c r="G33" s="78"/>
      <c r="H33" s="79"/>
      <c r="I33" s="85" t="s">
        <v>166</v>
      </c>
      <c r="J33" s="85"/>
      <c r="K33" s="322"/>
      <c r="L33" s="82"/>
      <c r="M33" s="83"/>
      <c r="N33" s="84"/>
      <c r="O33" s="84"/>
      <c r="P33" s="84"/>
      <c r="Q33" s="84"/>
      <c r="R33" s="84"/>
      <c r="S33" s="84"/>
      <c r="U33" s="56"/>
    </row>
    <row r="34" customFormat="false" ht="27.95" hidden="false" customHeight="true" outlineLevel="0" collapsed="false">
      <c r="B34" s="56"/>
      <c r="D34" s="77"/>
      <c r="E34" s="30"/>
      <c r="F34" s="26"/>
      <c r="G34" s="78"/>
      <c r="H34" s="79"/>
      <c r="I34" s="85" t="s">
        <v>167</v>
      </c>
      <c r="J34" s="85"/>
      <c r="K34" s="322"/>
      <c r="L34" s="82"/>
      <c r="M34" s="83"/>
      <c r="N34" s="84"/>
      <c r="O34" s="84"/>
      <c r="P34" s="84"/>
      <c r="Q34" s="84"/>
      <c r="R34" s="84"/>
      <c r="S34" s="84"/>
      <c r="U34" s="56"/>
    </row>
    <row r="35" customFormat="false" ht="14.45" hidden="false" customHeight="true" outlineLevel="0" collapsed="false">
      <c r="B35" s="56"/>
      <c r="D35" s="77"/>
      <c r="E35" s="30"/>
      <c r="F35" s="26"/>
      <c r="G35" s="78"/>
      <c r="H35" s="79"/>
      <c r="I35" s="85" t="s">
        <v>168</v>
      </c>
      <c r="J35" s="85"/>
      <c r="K35" s="322"/>
      <c r="L35" s="82"/>
      <c r="M35" s="83"/>
      <c r="N35" s="84"/>
      <c r="O35" s="84"/>
      <c r="P35" s="84"/>
      <c r="Q35" s="84"/>
      <c r="R35" s="84"/>
      <c r="S35" s="84"/>
      <c r="U35" s="56"/>
    </row>
    <row r="36" customFormat="false" ht="14.45" hidden="false" customHeight="true" outlineLevel="0" collapsed="false">
      <c r="B36" s="56"/>
      <c r="D36" s="77"/>
      <c r="E36" s="30"/>
      <c r="F36" s="26"/>
      <c r="G36" s="78"/>
      <c r="H36" s="79"/>
      <c r="I36" s="85" t="s">
        <v>169</v>
      </c>
      <c r="J36" s="85"/>
      <c r="K36" s="322"/>
      <c r="L36" s="82"/>
      <c r="M36" s="83"/>
      <c r="N36" s="84"/>
      <c r="O36" s="84"/>
      <c r="P36" s="84"/>
      <c r="Q36" s="84"/>
      <c r="R36" s="84"/>
      <c r="S36" s="84"/>
      <c r="U36" s="56"/>
    </row>
    <row r="37" customFormat="false" ht="14.45" hidden="false" customHeight="true" outlineLevel="0" collapsed="false">
      <c r="B37" s="56"/>
      <c r="D37" s="77"/>
      <c r="E37" s="30"/>
      <c r="F37" s="26"/>
      <c r="G37" s="78"/>
      <c r="H37" s="79"/>
      <c r="I37" s="85" t="s">
        <v>170</v>
      </c>
      <c r="J37" s="85"/>
      <c r="K37" s="322"/>
      <c r="L37" s="82"/>
      <c r="M37" s="83"/>
      <c r="N37" s="84"/>
      <c r="O37" s="84"/>
      <c r="P37" s="84"/>
      <c r="Q37" s="84"/>
      <c r="R37" s="84"/>
      <c r="S37" s="84"/>
      <c r="U37" s="56"/>
    </row>
    <row r="38" customFormat="false" ht="14.45" hidden="false" customHeight="true" outlineLevel="0" collapsed="false">
      <c r="B38" s="56"/>
      <c r="D38" s="77"/>
      <c r="E38" s="30"/>
      <c r="F38" s="26"/>
      <c r="G38" s="78"/>
      <c r="H38" s="79"/>
      <c r="I38" s="85" t="s">
        <v>171</v>
      </c>
      <c r="J38" s="85"/>
      <c r="K38" s="322"/>
      <c r="L38" s="82"/>
      <c r="M38" s="83"/>
      <c r="N38" s="84"/>
      <c r="O38" s="84"/>
      <c r="P38" s="84"/>
      <c r="Q38" s="84"/>
      <c r="R38" s="84"/>
      <c r="S38" s="84"/>
      <c r="U38" s="56"/>
    </row>
    <row r="39" customFormat="false" ht="27.95" hidden="false" customHeight="true" outlineLevel="0" collapsed="false">
      <c r="B39" s="56"/>
      <c r="D39" s="87" t="s">
        <v>11</v>
      </c>
      <c r="E39" s="88" t="s">
        <v>12</v>
      </c>
      <c r="F39" s="28" t="n">
        <v>3</v>
      </c>
      <c r="G39" s="89" t="s">
        <v>110</v>
      </c>
      <c r="H39" s="90" t="s">
        <v>111</v>
      </c>
      <c r="I39" s="91" t="s">
        <v>112</v>
      </c>
      <c r="J39" s="91"/>
      <c r="K39" s="224" t="s">
        <v>113</v>
      </c>
      <c r="L39" s="233" t="s">
        <v>62</v>
      </c>
      <c r="M39" s="323" t="s">
        <v>62</v>
      </c>
      <c r="N39" s="84" t="s">
        <v>62</v>
      </c>
      <c r="O39" s="84"/>
      <c r="P39" s="84"/>
      <c r="Q39" s="84"/>
      <c r="R39" s="84"/>
      <c r="S39" s="84"/>
      <c r="U39" s="56"/>
    </row>
    <row r="40" customFormat="false" ht="15" hidden="false" customHeight="true" outlineLevel="0" collapsed="false">
      <c r="B40" s="56"/>
      <c r="D40" s="87"/>
      <c r="E40" s="88"/>
      <c r="F40" s="28"/>
      <c r="G40" s="89"/>
      <c r="H40" s="90"/>
      <c r="I40" s="96" t="s">
        <v>114</v>
      </c>
      <c r="J40" s="96"/>
      <c r="K40" s="224"/>
      <c r="L40" s="233"/>
      <c r="M40" s="323"/>
      <c r="N40" s="84"/>
      <c r="O40" s="84"/>
      <c r="P40" s="84"/>
      <c r="Q40" s="84"/>
      <c r="R40" s="84"/>
      <c r="S40" s="84"/>
      <c r="U40" s="56"/>
    </row>
    <row r="41" customFormat="false" ht="15" hidden="false" customHeight="true" outlineLevel="0" collapsed="false">
      <c r="B41" s="56"/>
      <c r="D41" s="87"/>
      <c r="E41" s="88"/>
      <c r="F41" s="28"/>
      <c r="G41" s="89"/>
      <c r="H41" s="90"/>
      <c r="I41" s="96" t="s">
        <v>115</v>
      </c>
      <c r="J41" s="96"/>
      <c r="K41" s="224"/>
      <c r="L41" s="233"/>
      <c r="M41" s="323"/>
      <c r="N41" s="84"/>
      <c r="O41" s="84"/>
      <c r="P41" s="84"/>
      <c r="Q41" s="84"/>
      <c r="R41" s="84"/>
      <c r="S41" s="84"/>
      <c r="U41" s="56"/>
    </row>
    <row r="42" customFormat="false" ht="15" hidden="false" customHeight="true" outlineLevel="0" collapsed="false">
      <c r="B42" s="56"/>
      <c r="D42" s="87"/>
      <c r="E42" s="88"/>
      <c r="F42" s="28"/>
      <c r="G42" s="89"/>
      <c r="H42" s="90"/>
      <c r="I42" s="324" t="s">
        <v>172</v>
      </c>
      <c r="J42" s="324"/>
      <c r="K42" s="224"/>
      <c r="L42" s="233"/>
      <c r="M42" s="323"/>
      <c r="N42" s="84"/>
      <c r="O42" s="84"/>
      <c r="P42" s="84"/>
      <c r="Q42" s="84"/>
      <c r="R42" s="84"/>
      <c r="S42" s="84"/>
      <c r="U42" s="56"/>
    </row>
    <row r="43" customFormat="false" ht="15" hidden="false" customHeight="true" outlineLevel="0" collapsed="false">
      <c r="B43" s="56"/>
      <c r="D43" s="97" t="s">
        <v>22</v>
      </c>
      <c r="E43" s="39" t="s">
        <v>23</v>
      </c>
      <c r="F43" s="98" t="n">
        <v>4</v>
      </c>
      <c r="G43" s="99" t="s">
        <v>110</v>
      </c>
      <c r="H43" s="100" t="s">
        <v>161</v>
      </c>
      <c r="I43" s="101" t="s">
        <v>173</v>
      </c>
      <c r="J43" s="101"/>
      <c r="K43" s="239" t="s">
        <v>113</v>
      </c>
      <c r="L43" s="325" t="s">
        <v>62</v>
      </c>
      <c r="M43" s="326" t="s">
        <v>62</v>
      </c>
      <c r="N43" s="327" t="s">
        <v>62</v>
      </c>
      <c r="O43" s="327"/>
      <c r="P43" s="327"/>
      <c r="Q43" s="327"/>
      <c r="R43" s="327"/>
      <c r="S43" s="327"/>
      <c r="U43" s="56"/>
    </row>
    <row r="44" customFormat="false" ht="15" hidden="false" customHeight="true" outlineLevel="0" collapsed="false">
      <c r="B44" s="56"/>
      <c r="D44" s="97"/>
      <c r="E44" s="39"/>
      <c r="F44" s="98"/>
      <c r="G44" s="99"/>
      <c r="H44" s="100"/>
      <c r="I44" s="103" t="s">
        <v>174</v>
      </c>
      <c r="J44" s="103"/>
      <c r="K44" s="239"/>
      <c r="L44" s="325"/>
      <c r="M44" s="326"/>
      <c r="N44" s="327"/>
      <c r="O44" s="327"/>
      <c r="P44" s="327"/>
      <c r="Q44" s="327"/>
      <c r="R44" s="327"/>
      <c r="S44" s="327"/>
      <c r="U44" s="56"/>
    </row>
    <row r="45" customFormat="false" ht="15" hidden="false" customHeight="true" outlineLevel="0" collapsed="false">
      <c r="B45" s="56"/>
      <c r="D45" s="97"/>
      <c r="E45" s="39"/>
      <c r="F45" s="98"/>
      <c r="G45" s="99"/>
      <c r="H45" s="100"/>
      <c r="I45" s="103" t="s">
        <v>175</v>
      </c>
      <c r="J45" s="103"/>
      <c r="K45" s="239"/>
      <c r="L45" s="325"/>
      <c r="M45" s="326"/>
      <c r="N45" s="327"/>
      <c r="O45" s="327"/>
      <c r="P45" s="327"/>
      <c r="Q45" s="327"/>
      <c r="R45" s="327"/>
      <c r="S45" s="327"/>
      <c r="U45" s="56"/>
    </row>
    <row r="46" customFormat="false" ht="15.75" hidden="false" customHeight="true" outlineLevel="0" collapsed="false">
      <c r="B46" s="56"/>
      <c r="D46" s="97"/>
      <c r="E46" s="39"/>
      <c r="F46" s="98"/>
      <c r="G46" s="99"/>
      <c r="H46" s="100"/>
      <c r="I46" s="104" t="s">
        <v>176</v>
      </c>
      <c r="J46" s="104"/>
      <c r="K46" s="239"/>
      <c r="L46" s="325"/>
      <c r="M46" s="326"/>
      <c r="N46" s="327"/>
      <c r="O46" s="327"/>
      <c r="P46" s="327"/>
      <c r="Q46" s="327"/>
      <c r="R46" s="327"/>
      <c r="S46" s="327"/>
      <c r="U46" s="56"/>
    </row>
    <row r="47" customFormat="false" ht="20.1" hidden="false" customHeight="true" outlineLevel="0" collapsed="false">
      <c r="B47" s="56"/>
      <c r="U47" s="56"/>
    </row>
    <row r="48" customFormat="false" ht="20.1" hidden="false" customHeight="true" outlineLevel="0" collapsed="false">
      <c r="B48" s="56"/>
      <c r="C48" s="106"/>
      <c r="D48" s="106"/>
      <c r="E48" s="107" t="str">
        <f aca="false">IF(OR(M29="-",M29= ""),H29,M29)</f>
        <v>Dungeon Petz</v>
      </c>
      <c r="F48" s="107"/>
      <c r="G48" s="107"/>
      <c r="H48" s="107"/>
      <c r="I48" s="107"/>
      <c r="J48" s="107"/>
      <c r="K48" s="107"/>
      <c r="L48" s="107"/>
      <c r="M48" s="107"/>
      <c r="N48" s="107"/>
      <c r="O48" s="108"/>
      <c r="P48" s="108"/>
      <c r="Q48" s="108"/>
      <c r="R48" s="108"/>
      <c r="S48" s="108"/>
      <c r="T48" s="106"/>
      <c r="U48" s="56"/>
    </row>
    <row r="49" customFormat="false" ht="50.1" hidden="false" customHeight="true" outlineLevel="0" collapsed="false">
      <c r="B49" s="56"/>
      <c r="C49" s="106"/>
      <c r="D49" s="108"/>
      <c r="E49" s="59" t="s">
        <v>48</v>
      </c>
      <c r="F49" s="109" t="s">
        <v>80</v>
      </c>
      <c r="G49" s="61" t="s">
        <v>81</v>
      </c>
      <c r="H49" s="60" t="s">
        <v>82</v>
      </c>
      <c r="I49" s="6" t="s">
        <v>83</v>
      </c>
      <c r="J49" s="60" t="s">
        <v>84</v>
      </c>
      <c r="K49" s="110" t="s">
        <v>85</v>
      </c>
      <c r="L49" s="60" t="s">
        <v>86</v>
      </c>
      <c r="M49" s="111" t="s">
        <v>87</v>
      </c>
      <c r="N49" s="61" t="s">
        <v>88</v>
      </c>
      <c r="O49" s="112" t="s">
        <v>89</v>
      </c>
      <c r="P49" s="113" t="s">
        <v>90</v>
      </c>
      <c r="Q49" s="113" t="s">
        <v>91</v>
      </c>
      <c r="R49" s="113" t="s">
        <v>92</v>
      </c>
      <c r="S49" s="108"/>
      <c r="T49" s="106"/>
      <c r="U49" s="56"/>
    </row>
    <row r="50" customFormat="false" ht="20.1" hidden="false" customHeight="true" outlineLevel="0" collapsed="false">
      <c r="B50" s="56"/>
      <c r="C50" s="106"/>
      <c r="D50" s="106"/>
      <c r="E50" s="243" t="s">
        <v>17</v>
      </c>
      <c r="F50" s="244" t="s">
        <v>18</v>
      </c>
      <c r="G50" s="245" t="n">
        <v>3</v>
      </c>
      <c r="H50" s="245" t="s">
        <v>62</v>
      </c>
      <c r="I50" s="245" t="n">
        <v>0</v>
      </c>
      <c r="J50" s="245" t="n">
        <v>83</v>
      </c>
      <c r="K50" s="245" t="s">
        <v>62</v>
      </c>
      <c r="L50" s="246" t="n">
        <f aca="false">IF(J50="",0,(J50/J54)*100)</f>
        <v>100</v>
      </c>
      <c r="M50" s="245" t="n">
        <v>1</v>
      </c>
      <c r="N50" s="247" t="n">
        <v>6</v>
      </c>
      <c r="O50" s="116" t="n">
        <f aca="false">IF(M50=1,1,0)</f>
        <v>1</v>
      </c>
      <c r="P50" s="117" t="n">
        <f aca="false">IF(M50=2,1,0)</f>
        <v>0</v>
      </c>
      <c r="Q50" s="117" t="n">
        <f aca="false">IF(M50=3,1,0)</f>
        <v>0</v>
      </c>
      <c r="R50" s="118" t="n">
        <f aca="false">IF(M50=4,1,0)</f>
        <v>0</v>
      </c>
      <c r="S50" s="119"/>
      <c r="T50" s="106"/>
      <c r="U50" s="56"/>
    </row>
    <row r="51" customFormat="false" ht="20.1" hidden="false" customHeight="true" outlineLevel="0" collapsed="false">
      <c r="B51" s="56"/>
      <c r="C51" s="106"/>
      <c r="D51" s="106"/>
      <c r="E51" s="77" t="s">
        <v>15</v>
      </c>
      <c r="F51" s="29" t="s">
        <v>16</v>
      </c>
      <c r="G51" s="248" t="n">
        <v>1</v>
      </c>
      <c r="H51" s="248" t="s">
        <v>62</v>
      </c>
      <c r="I51" s="248" t="n">
        <v>0</v>
      </c>
      <c r="J51" s="248" t="n">
        <v>58</v>
      </c>
      <c r="K51" s="248" t="s">
        <v>62</v>
      </c>
      <c r="L51" s="250" t="n">
        <f aca="false">IF(J51="",0,(J51/J54)*100)</f>
        <v>69.8795180722892</v>
      </c>
      <c r="M51" s="248" t="n">
        <v>2</v>
      </c>
      <c r="N51" s="251" t="n">
        <v>3</v>
      </c>
      <c r="O51" s="123" t="n">
        <f aca="false">IF(M51=1,1,0)</f>
        <v>0</v>
      </c>
      <c r="P51" s="124" t="n">
        <f aca="false">IF(M51=2,1,0)</f>
        <v>1</v>
      </c>
      <c r="Q51" s="124" t="n">
        <f aca="false">IF(M51=3,1,0)</f>
        <v>0</v>
      </c>
      <c r="R51" s="125" t="n">
        <f aca="false">IF(M51=4,1,0)</f>
        <v>0</v>
      </c>
      <c r="S51" s="119"/>
      <c r="T51" s="106"/>
      <c r="U51" s="56"/>
    </row>
    <row r="52" customFormat="false" ht="20.1" hidden="false" customHeight="true" outlineLevel="0" collapsed="false">
      <c r="B52" s="56"/>
      <c r="C52" s="106"/>
      <c r="D52" s="106"/>
      <c r="E52" s="77" t="s">
        <v>11</v>
      </c>
      <c r="F52" s="29" t="s">
        <v>12</v>
      </c>
      <c r="G52" s="248" t="n">
        <v>4</v>
      </c>
      <c r="H52" s="248" t="s">
        <v>62</v>
      </c>
      <c r="I52" s="248" t="n">
        <v>0</v>
      </c>
      <c r="J52" s="248" t="n">
        <v>39</v>
      </c>
      <c r="K52" s="248" t="s">
        <v>62</v>
      </c>
      <c r="L52" s="250" t="n">
        <f aca="false">IF(J52="",0,(J52/J54)*100)</f>
        <v>46.9879518072289</v>
      </c>
      <c r="M52" s="248" t="n">
        <v>3</v>
      </c>
      <c r="N52" s="251" t="n">
        <v>1</v>
      </c>
      <c r="O52" s="123" t="n">
        <f aca="false">IF(M52=1,1,0)</f>
        <v>0</v>
      </c>
      <c r="P52" s="124" t="n">
        <f aca="false">IF(M52=2,1,0)</f>
        <v>0</v>
      </c>
      <c r="Q52" s="124" t="n">
        <f aca="false">IF(M52=3,1,0)</f>
        <v>1</v>
      </c>
      <c r="R52" s="125" t="n">
        <f aca="false">IF(M52=4,1,0)</f>
        <v>0</v>
      </c>
      <c r="S52" s="119"/>
      <c r="T52" s="106"/>
      <c r="U52" s="56"/>
    </row>
    <row r="53" customFormat="false" ht="20.1" hidden="false" customHeight="true" outlineLevel="0" collapsed="false">
      <c r="B53" s="56"/>
      <c r="C53" s="106"/>
      <c r="D53" s="131"/>
      <c r="E53" s="236" t="s">
        <v>22</v>
      </c>
      <c r="F53" s="39" t="s">
        <v>23</v>
      </c>
      <c r="G53" s="253" t="n">
        <v>2</v>
      </c>
      <c r="H53" s="253" t="s">
        <v>62</v>
      </c>
      <c r="I53" s="253" t="n">
        <v>0</v>
      </c>
      <c r="J53" s="253" t="n">
        <v>2</v>
      </c>
      <c r="K53" s="253" t="s">
        <v>62</v>
      </c>
      <c r="L53" s="255" t="n">
        <f aca="false">IF(J53="",0,(J53/J54)*100)</f>
        <v>2.40963855421687</v>
      </c>
      <c r="M53" s="253" t="n">
        <v>4</v>
      </c>
      <c r="N53" s="256" t="n">
        <v>0</v>
      </c>
      <c r="O53" s="135" t="n">
        <f aca="false">IF(M53=1,1,0)</f>
        <v>0</v>
      </c>
      <c r="P53" s="136" t="n">
        <f aca="false">IF(M53=2,1,0)</f>
        <v>0</v>
      </c>
      <c r="Q53" s="136" t="n">
        <f aca="false">IF(M53=3,1,0)</f>
        <v>0</v>
      </c>
      <c r="R53" s="137" t="n">
        <f aca="false">IF(M53=4,1,0)</f>
        <v>1</v>
      </c>
      <c r="S53" s="119"/>
      <c r="T53" s="106"/>
      <c r="U53" s="56"/>
    </row>
    <row r="54" customFormat="false" ht="20.1" hidden="true" customHeight="true" outlineLevel="1" collapsed="false">
      <c r="B54" s="56"/>
      <c r="C54" s="106"/>
      <c r="D54" s="138"/>
      <c r="E54" s="138"/>
      <c r="F54" s="139"/>
      <c r="G54" s="139"/>
      <c r="H54" s="106"/>
      <c r="I54" s="140" t="s">
        <v>94</v>
      </c>
      <c r="J54" s="141" t="n">
        <f aca="false">MAX(J50:J53)</f>
        <v>83</v>
      </c>
      <c r="K54" s="142"/>
      <c r="L54" s="143"/>
      <c r="M54" s="106"/>
      <c r="N54" s="144" t="s">
        <v>95</v>
      </c>
      <c r="O54" s="145" t="n">
        <f aca="false">SUM(O50:O53)</f>
        <v>1</v>
      </c>
      <c r="P54" s="146" t="n">
        <f aca="false">SUM(P50:P53)</f>
        <v>1</v>
      </c>
      <c r="Q54" s="145" t="n">
        <f aca="false">SUM(Q50:Q53)</f>
        <v>1</v>
      </c>
      <c r="R54" s="145" t="n">
        <f aca="false">SUM(R50:R53)</f>
        <v>1</v>
      </c>
      <c r="S54" s="147"/>
      <c r="T54" s="106"/>
      <c r="U54" s="56"/>
    </row>
    <row r="55" customFormat="false" ht="20.1" hidden="false" customHeight="true" outlineLevel="0" collapsed="false">
      <c r="B55" s="56"/>
      <c r="C55" s="106"/>
      <c r="D55" s="106"/>
      <c r="E55" s="106"/>
      <c r="F55" s="148"/>
      <c r="G55" s="148"/>
      <c r="H55" s="108"/>
      <c r="I55" s="106"/>
      <c r="J55" s="106"/>
      <c r="K55" s="106"/>
      <c r="L55" s="106"/>
      <c r="M55" s="106"/>
      <c r="N55" s="106"/>
      <c r="O55" s="106"/>
      <c r="P55" s="106"/>
      <c r="Q55" s="106"/>
      <c r="R55" s="106"/>
      <c r="S55" s="106"/>
      <c r="T55" s="106"/>
      <c r="U55" s="56"/>
    </row>
    <row r="56" customFormat="false" ht="20.1" hidden="false" customHeight="true" outlineLevel="0" collapsed="false">
      <c r="B56" s="56"/>
      <c r="U56" s="56"/>
    </row>
    <row r="57" customFormat="false" ht="20.1" hidden="false" customHeight="true" outlineLevel="0" collapsed="false">
      <c r="B57" s="56"/>
      <c r="C57" s="149"/>
      <c r="D57" s="149"/>
      <c r="E57" s="150" t="str">
        <f aca="false">IF(OR(M31="-",M31= ""),H31,M31)</f>
        <v>Gaia Project</v>
      </c>
      <c r="F57" s="150"/>
      <c r="G57" s="150"/>
      <c r="H57" s="150"/>
      <c r="I57" s="150"/>
      <c r="J57" s="150"/>
      <c r="K57" s="150"/>
      <c r="L57" s="150"/>
      <c r="M57" s="150"/>
      <c r="N57" s="150"/>
      <c r="O57" s="151"/>
      <c r="P57" s="151"/>
      <c r="Q57" s="151"/>
      <c r="R57" s="151"/>
      <c r="S57" s="151"/>
      <c r="T57" s="149"/>
      <c r="U57" s="56"/>
    </row>
    <row r="58" customFormat="false" ht="50.1" hidden="false" customHeight="true" outlineLevel="0" collapsed="false">
      <c r="B58" s="56"/>
      <c r="C58" s="149"/>
      <c r="D58" s="151"/>
      <c r="E58" s="59" t="s">
        <v>48</v>
      </c>
      <c r="F58" s="109" t="s">
        <v>80</v>
      </c>
      <c r="G58" s="61" t="s">
        <v>81</v>
      </c>
      <c r="H58" s="60" t="s">
        <v>82</v>
      </c>
      <c r="I58" s="6" t="s">
        <v>83</v>
      </c>
      <c r="J58" s="60" t="s">
        <v>84</v>
      </c>
      <c r="K58" s="110" t="s">
        <v>85</v>
      </c>
      <c r="L58" s="60" t="s">
        <v>86</v>
      </c>
      <c r="M58" s="111" t="s">
        <v>87</v>
      </c>
      <c r="N58" s="61" t="s">
        <v>88</v>
      </c>
      <c r="O58" s="112" t="s">
        <v>89</v>
      </c>
      <c r="P58" s="113" t="s">
        <v>90</v>
      </c>
      <c r="Q58" s="113" t="s">
        <v>91</v>
      </c>
      <c r="R58" s="113" t="s">
        <v>92</v>
      </c>
      <c r="S58" s="151"/>
      <c r="T58" s="149"/>
      <c r="U58" s="56"/>
    </row>
    <row r="59" customFormat="false" ht="20.1" hidden="false" customHeight="true" outlineLevel="0" collapsed="false">
      <c r="B59" s="56"/>
      <c r="C59" s="149"/>
      <c r="D59" s="149"/>
      <c r="E59" s="243" t="s">
        <v>17</v>
      </c>
      <c r="F59" s="244" t="s">
        <v>19</v>
      </c>
      <c r="G59" s="245" t="n">
        <v>4</v>
      </c>
      <c r="H59" s="245" t="s">
        <v>177</v>
      </c>
      <c r="I59" s="245" t="n">
        <v>6</v>
      </c>
      <c r="J59" s="245" t="n">
        <v>154</v>
      </c>
      <c r="K59" s="245" t="s">
        <v>62</v>
      </c>
      <c r="L59" s="246" t="n">
        <f aca="false">IF(J59="",0,(J59/J63)*100)</f>
        <v>100</v>
      </c>
      <c r="M59" s="245" t="n">
        <v>1</v>
      </c>
      <c r="N59" s="247" t="n">
        <v>6</v>
      </c>
      <c r="O59" s="116" t="n">
        <f aca="false">IF(M59=1,1,0)</f>
        <v>1</v>
      </c>
      <c r="P59" s="117" t="n">
        <f aca="false">IF(M59=2,1,0)</f>
        <v>0</v>
      </c>
      <c r="Q59" s="117" t="n">
        <f aca="false">IF(M59=3,1,0)</f>
        <v>0</v>
      </c>
      <c r="R59" s="118" t="n">
        <f aca="false">IF(M59=4,1,0)</f>
        <v>0</v>
      </c>
      <c r="S59" s="152"/>
      <c r="T59" s="149"/>
      <c r="U59" s="56"/>
    </row>
    <row r="60" customFormat="false" ht="20.1" hidden="false" customHeight="true" outlineLevel="0" collapsed="false">
      <c r="B60" s="56"/>
      <c r="C60" s="149"/>
      <c r="D60" s="153"/>
      <c r="E60" s="77" t="s">
        <v>15</v>
      </c>
      <c r="F60" s="29" t="s">
        <v>16</v>
      </c>
      <c r="G60" s="248" t="n">
        <v>1</v>
      </c>
      <c r="H60" s="248" t="s">
        <v>178</v>
      </c>
      <c r="I60" s="248" t="n">
        <v>10</v>
      </c>
      <c r="J60" s="248" t="n">
        <v>113</v>
      </c>
      <c r="K60" s="248" t="s">
        <v>62</v>
      </c>
      <c r="L60" s="250" t="n">
        <f aca="false">IF(J60="",0,(J60/J63)*100)</f>
        <v>73.3766233766234</v>
      </c>
      <c r="M60" s="248" t="n">
        <v>4</v>
      </c>
      <c r="N60" s="251" t="n">
        <v>0</v>
      </c>
      <c r="O60" s="123" t="n">
        <f aca="false">IF(M60=1,1,0)</f>
        <v>0</v>
      </c>
      <c r="P60" s="124" t="n">
        <f aca="false">IF(M60=2,1,0)</f>
        <v>0</v>
      </c>
      <c r="Q60" s="124" t="n">
        <f aca="false">IF(M60=3,1,0)</f>
        <v>0</v>
      </c>
      <c r="R60" s="125" t="n">
        <f aca="false">IF(M60=4,1,0)</f>
        <v>1</v>
      </c>
      <c r="S60" s="152"/>
      <c r="T60" s="149"/>
      <c r="U60" s="56"/>
    </row>
    <row r="61" customFormat="false" ht="20.1" hidden="false" customHeight="true" outlineLevel="0" collapsed="false">
      <c r="B61" s="56"/>
      <c r="C61" s="149"/>
      <c r="D61" s="149"/>
      <c r="E61" s="77" t="s">
        <v>11</v>
      </c>
      <c r="F61" s="29" t="s">
        <v>12</v>
      </c>
      <c r="G61" s="248" t="n">
        <v>2</v>
      </c>
      <c r="H61" s="248" t="s">
        <v>179</v>
      </c>
      <c r="I61" s="248" t="n">
        <v>-13</v>
      </c>
      <c r="J61" s="248" t="n">
        <v>151</v>
      </c>
      <c r="K61" s="248" t="s">
        <v>62</v>
      </c>
      <c r="L61" s="250" t="n">
        <f aca="false">IF(J61="",0,(J61/J63)*100)</f>
        <v>98.0519480519481</v>
      </c>
      <c r="M61" s="248" t="n">
        <v>2</v>
      </c>
      <c r="N61" s="251" t="n">
        <v>3</v>
      </c>
      <c r="O61" s="123" t="n">
        <f aca="false">IF(M61=1,1,0)</f>
        <v>0</v>
      </c>
      <c r="P61" s="124" t="n">
        <f aca="false">IF(M61=2,1,0)</f>
        <v>1</v>
      </c>
      <c r="Q61" s="124" t="n">
        <f aca="false">IF(M61=3,1,0)</f>
        <v>0</v>
      </c>
      <c r="R61" s="125" t="n">
        <f aca="false">IF(M61=4,1,0)</f>
        <v>0</v>
      </c>
      <c r="S61" s="152"/>
      <c r="T61" s="149"/>
      <c r="U61" s="56"/>
    </row>
    <row r="62" customFormat="false" ht="27.95" hidden="false" customHeight="true" outlineLevel="0" collapsed="false">
      <c r="B62" s="56"/>
      <c r="C62" s="149"/>
      <c r="D62" s="149"/>
      <c r="E62" s="236" t="s">
        <v>22</v>
      </c>
      <c r="F62" s="39" t="s">
        <v>23</v>
      </c>
      <c r="G62" s="253" t="n">
        <v>3</v>
      </c>
      <c r="H62" s="253" t="s">
        <v>180</v>
      </c>
      <c r="I62" s="253" t="n">
        <v>8</v>
      </c>
      <c r="J62" s="253" t="n">
        <v>149</v>
      </c>
      <c r="K62" s="253" t="s">
        <v>62</v>
      </c>
      <c r="L62" s="255" t="n">
        <f aca="false">IF(J62="",0,(J62/J63)*100)</f>
        <v>96.7532467532468</v>
      </c>
      <c r="M62" s="253" t="n">
        <v>3</v>
      </c>
      <c r="N62" s="256" t="n">
        <v>1</v>
      </c>
      <c r="O62" s="135" t="n">
        <f aca="false">IF(M62=1,1,0)</f>
        <v>0</v>
      </c>
      <c r="P62" s="136" t="n">
        <f aca="false">IF(M62=2,1,0)</f>
        <v>0</v>
      </c>
      <c r="Q62" s="136" t="n">
        <f aca="false">IF(M62=3,1,0)</f>
        <v>1</v>
      </c>
      <c r="R62" s="137" t="n">
        <f aca="false">IF(M62=4,1,0)</f>
        <v>0</v>
      </c>
      <c r="S62" s="152"/>
      <c r="T62" s="149"/>
      <c r="U62" s="56"/>
    </row>
    <row r="63" customFormat="false" ht="20.1" hidden="true" customHeight="true" outlineLevel="1" collapsed="false">
      <c r="B63" s="56"/>
      <c r="C63" s="149"/>
      <c r="D63" s="149"/>
      <c r="E63" s="149"/>
      <c r="F63" s="155"/>
      <c r="G63" s="155"/>
      <c r="H63" s="149"/>
      <c r="I63" s="156" t="s">
        <v>94</v>
      </c>
      <c r="J63" s="141" t="n">
        <f aca="false">MAX(J59:J62)</f>
        <v>154</v>
      </c>
      <c r="K63" s="157"/>
      <c r="L63" s="152"/>
      <c r="M63" s="149"/>
      <c r="N63" s="144" t="s">
        <v>95</v>
      </c>
      <c r="O63" s="145" t="n">
        <f aca="false">SUM(O59:O62)</f>
        <v>1</v>
      </c>
      <c r="P63" s="146" t="n">
        <f aca="false">SUM(P59:P62)</f>
        <v>1</v>
      </c>
      <c r="Q63" s="145" t="n">
        <f aca="false">SUM(Q59:Q62)</f>
        <v>1</v>
      </c>
      <c r="R63" s="158" t="n">
        <f aca="false">SUM(R59:R62)</f>
        <v>1</v>
      </c>
      <c r="S63" s="159"/>
      <c r="T63" s="149"/>
      <c r="U63" s="56"/>
    </row>
    <row r="64" customFormat="false" ht="20.1" hidden="false" customHeight="true" outlineLevel="0" collapsed="false">
      <c r="B64" s="56"/>
      <c r="C64" s="149"/>
      <c r="D64" s="149"/>
      <c r="E64" s="149"/>
      <c r="F64" s="149"/>
      <c r="G64" s="149"/>
      <c r="H64" s="149"/>
      <c r="I64" s="149"/>
      <c r="J64" s="149"/>
      <c r="K64" s="149"/>
      <c r="L64" s="149"/>
      <c r="M64" s="149"/>
      <c r="N64" s="149"/>
      <c r="O64" s="149"/>
      <c r="P64" s="149"/>
      <c r="Q64" s="149"/>
      <c r="R64" s="149"/>
      <c r="S64" s="149"/>
      <c r="T64" s="149"/>
      <c r="U64" s="56"/>
    </row>
    <row r="65" customFormat="false" ht="20.1" hidden="false" customHeight="true" outlineLevel="0" collapsed="false">
      <c r="B65" s="56"/>
      <c r="D65" s="45"/>
      <c r="E65" s="45"/>
      <c r="F65" s="45"/>
      <c r="G65" s="45"/>
      <c r="H65" s="160"/>
      <c r="I65" s="45"/>
      <c r="J65" s="45"/>
      <c r="U65" s="56"/>
    </row>
    <row r="66" customFormat="false" ht="20.1" hidden="false" customHeight="true" outlineLevel="0" collapsed="false">
      <c r="B66" s="56"/>
      <c r="C66" s="161"/>
      <c r="D66" s="161"/>
      <c r="E66" s="162" t="str">
        <f aca="false">IF(OR(M39="-",M39= ""),H39,M39)</f>
        <v>Orakel von Delphi</v>
      </c>
      <c r="F66" s="162"/>
      <c r="G66" s="162"/>
      <c r="H66" s="162"/>
      <c r="I66" s="162"/>
      <c r="J66" s="162"/>
      <c r="K66" s="162"/>
      <c r="L66" s="162"/>
      <c r="M66" s="162"/>
      <c r="N66" s="162"/>
      <c r="O66" s="163"/>
      <c r="P66" s="163"/>
      <c r="Q66" s="163"/>
      <c r="R66" s="163"/>
      <c r="S66" s="163"/>
      <c r="T66" s="161"/>
      <c r="U66" s="164"/>
      <c r="V66" s="165"/>
      <c r="W66" s="165"/>
    </row>
    <row r="67" customFormat="false" ht="50.1" hidden="false" customHeight="true" outlineLevel="0" collapsed="false">
      <c r="B67" s="56"/>
      <c r="C67" s="161"/>
      <c r="D67" s="163"/>
      <c r="E67" s="59" t="s">
        <v>48</v>
      </c>
      <c r="F67" s="109" t="s">
        <v>80</v>
      </c>
      <c r="G67" s="61" t="s">
        <v>81</v>
      </c>
      <c r="H67" s="60" t="s">
        <v>82</v>
      </c>
      <c r="I67" s="6" t="s">
        <v>83</v>
      </c>
      <c r="J67" s="60" t="s">
        <v>84</v>
      </c>
      <c r="K67" s="110" t="s">
        <v>85</v>
      </c>
      <c r="L67" s="60" t="s">
        <v>86</v>
      </c>
      <c r="M67" s="111" t="s">
        <v>87</v>
      </c>
      <c r="N67" s="61" t="s">
        <v>88</v>
      </c>
      <c r="O67" s="112" t="s">
        <v>89</v>
      </c>
      <c r="P67" s="113" t="s">
        <v>90</v>
      </c>
      <c r="Q67" s="113" t="s">
        <v>91</v>
      </c>
      <c r="R67" s="12" t="s">
        <v>92</v>
      </c>
      <c r="S67" s="163"/>
      <c r="T67" s="161"/>
      <c r="U67" s="164"/>
      <c r="V67" s="165"/>
      <c r="W67" s="165"/>
    </row>
    <row r="68" customFormat="false" ht="45" hidden="false" customHeight="true" outlineLevel="0" collapsed="false">
      <c r="B68" s="56"/>
      <c r="C68" s="161"/>
      <c r="D68" s="161"/>
      <c r="E68" s="243" t="s">
        <v>17</v>
      </c>
      <c r="F68" s="244" t="s">
        <v>19</v>
      </c>
      <c r="G68" s="245" t="n">
        <v>3</v>
      </c>
      <c r="H68" s="245" t="s">
        <v>124</v>
      </c>
      <c r="I68" s="245" t="s">
        <v>62</v>
      </c>
      <c r="J68" s="328" t="s">
        <v>181</v>
      </c>
      <c r="K68" s="245" t="s">
        <v>182</v>
      </c>
      <c r="L68" s="246" t="n">
        <v>100</v>
      </c>
      <c r="M68" s="245" t="n">
        <v>1</v>
      </c>
      <c r="N68" s="247" t="n">
        <v>6</v>
      </c>
      <c r="O68" s="116" t="n">
        <f aca="false">IF(M68=1,1,0)</f>
        <v>1</v>
      </c>
      <c r="P68" s="117" t="n">
        <f aca="false">IF(M68=2,1,0)</f>
        <v>0</v>
      </c>
      <c r="Q68" s="117" t="n">
        <f aca="false">IF(M68=3,1,0)</f>
        <v>0</v>
      </c>
      <c r="R68" s="118" t="n">
        <f aca="false">IF(M68=4,1,0)</f>
        <v>0</v>
      </c>
      <c r="S68" s="166"/>
      <c r="T68" s="161"/>
      <c r="U68" s="56"/>
    </row>
    <row r="69" customFormat="false" ht="45" hidden="false" customHeight="true" outlineLevel="0" collapsed="false">
      <c r="B69" s="56"/>
      <c r="C69" s="161"/>
      <c r="D69" s="167"/>
      <c r="E69" s="77" t="s">
        <v>15</v>
      </c>
      <c r="F69" s="29" t="s">
        <v>16</v>
      </c>
      <c r="G69" s="248" t="n">
        <v>2</v>
      </c>
      <c r="H69" s="248" t="s">
        <v>183</v>
      </c>
      <c r="I69" s="248" t="s">
        <v>62</v>
      </c>
      <c r="J69" s="249" t="s">
        <v>184</v>
      </c>
      <c r="K69" s="248" t="s">
        <v>185</v>
      </c>
      <c r="L69" s="250" t="n">
        <f aca="false">100-(1/9)*100</f>
        <v>88.8888888888889</v>
      </c>
      <c r="M69" s="248" t="n">
        <v>3</v>
      </c>
      <c r="N69" s="251" t="n">
        <v>1</v>
      </c>
      <c r="O69" s="123" t="n">
        <f aca="false">IF(M69=1,1,0)</f>
        <v>0</v>
      </c>
      <c r="P69" s="124" t="n">
        <f aca="false">IF(M69=2,1,0)</f>
        <v>0</v>
      </c>
      <c r="Q69" s="124" t="n">
        <f aca="false">IF(M69=3,1,0)</f>
        <v>1</v>
      </c>
      <c r="R69" s="125" t="n">
        <f aca="false">IF(M69=4,1,0)</f>
        <v>0</v>
      </c>
      <c r="S69" s="166"/>
      <c r="T69" s="161"/>
      <c r="U69" s="168"/>
    </row>
    <row r="70" customFormat="false" ht="45" hidden="false" customHeight="true" outlineLevel="0" collapsed="false">
      <c r="B70" s="56"/>
      <c r="C70" s="161"/>
      <c r="D70" s="161"/>
      <c r="E70" s="77" t="s">
        <v>11</v>
      </c>
      <c r="F70" s="29" t="s">
        <v>12</v>
      </c>
      <c r="G70" s="248" t="n">
        <v>1</v>
      </c>
      <c r="H70" s="248" t="s">
        <v>186</v>
      </c>
      <c r="I70" s="248" t="s">
        <v>62</v>
      </c>
      <c r="J70" s="249" t="s">
        <v>184</v>
      </c>
      <c r="K70" s="248" t="s">
        <v>128</v>
      </c>
      <c r="L70" s="250" t="n">
        <f aca="false">100-(1/9)*100</f>
        <v>88.8888888888889</v>
      </c>
      <c r="M70" s="248" t="n">
        <v>4</v>
      </c>
      <c r="N70" s="251" t="n">
        <v>0</v>
      </c>
      <c r="O70" s="123" t="n">
        <f aca="false">IF(M70=1,1,0)</f>
        <v>0</v>
      </c>
      <c r="P70" s="124" t="n">
        <f aca="false">IF(M70=2,1,0)</f>
        <v>0</v>
      </c>
      <c r="Q70" s="124" t="n">
        <f aca="false">IF(M70=3,1,0)</f>
        <v>0</v>
      </c>
      <c r="R70" s="125" t="n">
        <f aca="false">IF(M70=4,1,0)</f>
        <v>1</v>
      </c>
      <c r="S70" s="166"/>
      <c r="T70" s="161"/>
      <c r="U70" s="168"/>
    </row>
    <row r="71" customFormat="false" ht="45" hidden="false" customHeight="true" outlineLevel="0" collapsed="false">
      <c r="B71" s="56"/>
      <c r="C71" s="161"/>
      <c r="D71" s="161"/>
      <c r="E71" s="236" t="s">
        <v>22</v>
      </c>
      <c r="F71" s="39" t="s">
        <v>23</v>
      </c>
      <c r="G71" s="253" t="n">
        <v>4</v>
      </c>
      <c r="H71" s="253" t="s">
        <v>131</v>
      </c>
      <c r="I71" s="253" t="s">
        <v>62</v>
      </c>
      <c r="J71" s="254" t="s">
        <v>181</v>
      </c>
      <c r="K71" s="253" t="s">
        <v>185</v>
      </c>
      <c r="L71" s="255" t="n">
        <v>100</v>
      </c>
      <c r="M71" s="253" t="n">
        <v>2</v>
      </c>
      <c r="N71" s="256" t="n">
        <v>3</v>
      </c>
      <c r="O71" s="135" t="n">
        <f aca="false">IF(M71=1,1,0)</f>
        <v>0</v>
      </c>
      <c r="P71" s="136" t="n">
        <f aca="false">IF(M71=2,1,0)</f>
        <v>1</v>
      </c>
      <c r="Q71" s="136" t="n">
        <f aca="false">IF(M71=3,1,0)</f>
        <v>0</v>
      </c>
      <c r="R71" s="137" t="n">
        <f aca="false">IF(M71=4,1,0)</f>
        <v>0</v>
      </c>
      <c r="S71" s="166"/>
      <c r="T71" s="161"/>
      <c r="U71" s="168"/>
    </row>
    <row r="72" customFormat="false" ht="20.1" hidden="true" customHeight="true" outlineLevel="1" collapsed="false">
      <c r="B72" s="56"/>
      <c r="C72" s="161"/>
      <c r="D72" s="161"/>
      <c r="E72" s="161"/>
      <c r="F72" s="169"/>
      <c r="G72" s="169"/>
      <c r="H72" s="161"/>
      <c r="I72" s="170" t="s">
        <v>94</v>
      </c>
      <c r="J72" s="141" t="n">
        <f aca="false">MAX(J68:J71)</f>
        <v>0</v>
      </c>
      <c r="K72" s="171"/>
      <c r="L72" s="166"/>
      <c r="M72" s="161"/>
      <c r="N72" s="144"/>
      <c r="O72" s="145" t="n">
        <f aca="false">SUM(O68:O71)</f>
        <v>1</v>
      </c>
      <c r="P72" s="146" t="n">
        <f aca="false">SUM(P68:P71)</f>
        <v>1</v>
      </c>
      <c r="Q72" s="145" t="n">
        <f aca="false">SUM(Q68:Q71)</f>
        <v>1</v>
      </c>
      <c r="R72" s="158" t="n">
        <f aca="false">SUM(R68:R71)</f>
        <v>1</v>
      </c>
      <c r="S72" s="172"/>
      <c r="T72" s="161"/>
      <c r="U72" s="168"/>
    </row>
    <row r="73" customFormat="false" ht="20.1" hidden="false" customHeight="true" outlineLevel="0" collapsed="false">
      <c r="B73" s="56"/>
      <c r="C73" s="161"/>
      <c r="D73" s="161"/>
      <c r="E73" s="161"/>
      <c r="F73" s="161"/>
      <c r="G73" s="161"/>
      <c r="H73" s="161"/>
      <c r="I73" s="161"/>
      <c r="J73" s="161"/>
      <c r="K73" s="161"/>
      <c r="L73" s="161"/>
      <c r="M73" s="161"/>
      <c r="N73" s="161"/>
      <c r="O73" s="161"/>
      <c r="P73" s="161"/>
      <c r="Q73" s="161"/>
      <c r="R73" s="161"/>
      <c r="S73" s="161"/>
      <c r="T73" s="161"/>
      <c r="U73" s="168"/>
    </row>
    <row r="74" customFormat="false" ht="20.1" hidden="false" customHeight="true" outlineLevel="0" collapsed="false">
      <c r="B74" s="56"/>
      <c r="D74" s="45"/>
      <c r="E74" s="45"/>
      <c r="F74" s="45"/>
      <c r="G74" s="45"/>
      <c r="H74" s="160"/>
      <c r="I74" s="45"/>
      <c r="J74" s="45"/>
      <c r="K74" s="45"/>
      <c r="U74" s="56"/>
    </row>
    <row r="75" customFormat="false" ht="20.1" hidden="false" customHeight="true" outlineLevel="0" collapsed="false">
      <c r="B75" s="56"/>
      <c r="C75" s="173"/>
      <c r="D75" s="173"/>
      <c r="E75" s="174" t="str">
        <f aca="false">IF(OR(M43="-",M43= ""),H43,M43)</f>
        <v>Rajas of the Ganges</v>
      </c>
      <c r="F75" s="174"/>
      <c r="G75" s="174"/>
      <c r="H75" s="174"/>
      <c r="I75" s="174"/>
      <c r="J75" s="174"/>
      <c r="K75" s="174"/>
      <c r="L75" s="174"/>
      <c r="M75" s="174"/>
      <c r="N75" s="174"/>
      <c r="O75" s="175"/>
      <c r="P75" s="175"/>
      <c r="Q75" s="175"/>
      <c r="R75" s="175"/>
      <c r="S75" s="175"/>
      <c r="T75" s="173"/>
      <c r="U75" s="56"/>
    </row>
    <row r="76" customFormat="false" ht="50.1" hidden="false" customHeight="true" outlineLevel="0" collapsed="false">
      <c r="B76" s="56"/>
      <c r="C76" s="173"/>
      <c r="D76" s="175"/>
      <c r="E76" s="59" t="s">
        <v>48</v>
      </c>
      <c r="F76" s="109" t="s">
        <v>80</v>
      </c>
      <c r="G76" s="61" t="s">
        <v>81</v>
      </c>
      <c r="H76" s="60" t="s">
        <v>82</v>
      </c>
      <c r="I76" s="6" t="s">
        <v>83</v>
      </c>
      <c r="J76" s="60" t="s">
        <v>84</v>
      </c>
      <c r="K76" s="110" t="s">
        <v>85</v>
      </c>
      <c r="L76" s="60" t="s">
        <v>86</v>
      </c>
      <c r="M76" s="111" t="s">
        <v>87</v>
      </c>
      <c r="N76" s="61" t="s">
        <v>88</v>
      </c>
      <c r="O76" s="112" t="s">
        <v>89</v>
      </c>
      <c r="P76" s="113" t="s">
        <v>90</v>
      </c>
      <c r="Q76" s="113" t="s">
        <v>91</v>
      </c>
      <c r="R76" s="12" t="s">
        <v>92</v>
      </c>
      <c r="S76" s="175"/>
      <c r="T76" s="173"/>
      <c r="U76" s="56"/>
    </row>
    <row r="77" customFormat="false" ht="20.1" hidden="false" customHeight="true" outlineLevel="0" collapsed="false">
      <c r="B77" s="56"/>
      <c r="C77" s="173"/>
      <c r="D77" s="173"/>
      <c r="E77" s="67" t="s">
        <v>17</v>
      </c>
      <c r="F77" s="14" t="s">
        <v>19</v>
      </c>
      <c r="G77" s="258" t="n">
        <v>2</v>
      </c>
      <c r="H77" s="258" t="s">
        <v>62</v>
      </c>
      <c r="I77" s="258" t="n">
        <v>-59</v>
      </c>
      <c r="J77" s="258" t="n">
        <v>-31</v>
      </c>
      <c r="K77" s="258" t="s">
        <v>62</v>
      </c>
      <c r="L77" s="259" t="n">
        <f aca="false">($I$77-J77)/($I$77-$J$79)*100</f>
        <v>44.4444444444444</v>
      </c>
      <c r="M77" s="258" t="n">
        <v>4</v>
      </c>
      <c r="N77" s="260" t="n">
        <v>0</v>
      </c>
      <c r="O77" s="116" t="n">
        <f aca="false">IF(M77=1,1,0)</f>
        <v>0</v>
      </c>
      <c r="P77" s="117" t="n">
        <f aca="false">IF(M77=2,1,0)</f>
        <v>0</v>
      </c>
      <c r="Q77" s="117" t="n">
        <f aca="false">IF(M77=3,1,0)</f>
        <v>0</v>
      </c>
      <c r="R77" s="118" t="n">
        <f aca="false">IF(M77=4,1,0)</f>
        <v>1</v>
      </c>
      <c r="S77" s="176"/>
      <c r="T77" s="173"/>
      <c r="U77" s="56"/>
    </row>
    <row r="78" customFormat="false" ht="20.1" hidden="false" customHeight="true" outlineLevel="0" collapsed="false">
      <c r="B78" s="56"/>
      <c r="C78" s="173"/>
      <c r="D78" s="173"/>
      <c r="E78" s="77" t="s">
        <v>15</v>
      </c>
      <c r="F78" s="29" t="s">
        <v>16</v>
      </c>
      <c r="G78" s="248" t="n">
        <v>1</v>
      </c>
      <c r="H78" s="248" t="s">
        <v>62</v>
      </c>
      <c r="I78" s="248" t="n">
        <v>-59</v>
      </c>
      <c r="J78" s="248" t="n">
        <v>-20</v>
      </c>
      <c r="K78" s="248" t="s">
        <v>62</v>
      </c>
      <c r="L78" s="250" t="n">
        <f aca="false">($I$77-J78)/($I$77-$J$79)*100</f>
        <v>61.9047619047619</v>
      </c>
      <c r="M78" s="248" t="n">
        <v>3</v>
      </c>
      <c r="N78" s="251" t="n">
        <v>1</v>
      </c>
      <c r="O78" s="123" t="n">
        <f aca="false">IF(M78=1,1,0)</f>
        <v>0</v>
      </c>
      <c r="P78" s="124" t="n">
        <f aca="false">IF(M78=2,1,0)</f>
        <v>0</v>
      </c>
      <c r="Q78" s="124" t="n">
        <f aca="false">IF(M78=3,1,0)</f>
        <v>1</v>
      </c>
      <c r="R78" s="125" t="n">
        <f aca="false">IF(M78=4,1,0)</f>
        <v>0</v>
      </c>
      <c r="S78" s="176"/>
      <c r="T78" s="173"/>
      <c r="U78" s="56"/>
    </row>
    <row r="79" customFormat="false" ht="20.1" hidden="false" customHeight="true" outlineLevel="0" collapsed="false">
      <c r="B79" s="56"/>
      <c r="C79" s="173"/>
      <c r="D79" s="173"/>
      <c r="E79" s="126" t="s">
        <v>11</v>
      </c>
      <c r="F79" s="127" t="s">
        <v>12</v>
      </c>
      <c r="G79" s="128" t="n">
        <v>4</v>
      </c>
      <c r="H79" s="128" t="s">
        <v>62</v>
      </c>
      <c r="I79" s="128" t="n">
        <v>-58</v>
      </c>
      <c r="J79" s="128" t="n">
        <v>4</v>
      </c>
      <c r="K79" s="128" t="s">
        <v>62</v>
      </c>
      <c r="L79" s="129" t="n">
        <f aca="false">($I$77-J79)/($I$77-$J$79)*100</f>
        <v>100</v>
      </c>
      <c r="M79" s="128" t="n">
        <v>1</v>
      </c>
      <c r="N79" s="130" t="n">
        <v>6</v>
      </c>
      <c r="O79" s="123" t="n">
        <f aca="false">IF(M79=1,1,0)</f>
        <v>1</v>
      </c>
      <c r="P79" s="124" t="n">
        <f aca="false">IF(M79=2,1,0)</f>
        <v>0</v>
      </c>
      <c r="Q79" s="124" t="n">
        <f aca="false">IF(M79=3,1,0)</f>
        <v>0</v>
      </c>
      <c r="R79" s="125" t="n">
        <f aca="false">IF(M79=4,1,0)</f>
        <v>0</v>
      </c>
      <c r="S79" s="176"/>
      <c r="T79" s="173"/>
      <c r="U79" s="56"/>
    </row>
    <row r="80" customFormat="false" ht="20.1" hidden="false" customHeight="true" outlineLevel="0" collapsed="false">
      <c r="B80" s="56"/>
      <c r="C80" s="173"/>
      <c r="D80" s="177"/>
      <c r="E80" s="236" t="s">
        <v>22</v>
      </c>
      <c r="F80" s="39" t="s">
        <v>23</v>
      </c>
      <c r="G80" s="253" t="n">
        <v>3</v>
      </c>
      <c r="H80" s="253" t="s">
        <v>62</v>
      </c>
      <c r="I80" s="253" t="n">
        <v>-58</v>
      </c>
      <c r="J80" s="253" t="n">
        <v>-3</v>
      </c>
      <c r="K80" s="253" t="s">
        <v>62</v>
      </c>
      <c r="L80" s="255" t="n">
        <f aca="false">($I$77-J80)/($I$77-$J$79)*100</f>
        <v>88.8888888888889</v>
      </c>
      <c r="M80" s="253" t="n">
        <v>2</v>
      </c>
      <c r="N80" s="256" t="n">
        <v>3</v>
      </c>
      <c r="O80" s="135" t="n">
        <f aca="false">IF(M80=1,1,0)</f>
        <v>0</v>
      </c>
      <c r="P80" s="136" t="n">
        <f aca="false">IF(M80=2,1,0)</f>
        <v>1</v>
      </c>
      <c r="Q80" s="136" t="n">
        <f aca="false">IF(M80=3,1,0)</f>
        <v>0</v>
      </c>
      <c r="R80" s="137" t="n">
        <f aca="false">IF(M80=4,1,0)</f>
        <v>0</v>
      </c>
      <c r="S80" s="176"/>
      <c r="T80" s="173"/>
      <c r="U80" s="56"/>
    </row>
    <row r="81" customFormat="false" ht="20.1" hidden="true" customHeight="true" outlineLevel="1" collapsed="false">
      <c r="B81" s="56"/>
      <c r="C81" s="173"/>
      <c r="D81" s="173"/>
      <c r="E81" s="173"/>
      <c r="F81" s="178"/>
      <c r="G81" s="178"/>
      <c r="H81" s="173"/>
      <c r="I81" s="156" t="s">
        <v>94</v>
      </c>
      <c r="J81" s="141" t="n">
        <f aca="false">MAX(J77:J80)</f>
        <v>4</v>
      </c>
      <c r="K81" s="179"/>
      <c r="L81" s="176"/>
      <c r="M81" s="173"/>
      <c r="N81" s="144" t="s">
        <v>95</v>
      </c>
      <c r="O81" s="145" t="n">
        <f aca="false">SUM(O77:O80)</f>
        <v>1</v>
      </c>
      <c r="P81" s="146" t="n">
        <f aca="false">SUM(P77:P80)</f>
        <v>1</v>
      </c>
      <c r="Q81" s="145" t="n">
        <f aca="false">SUM(Q77:Q80)</f>
        <v>1</v>
      </c>
      <c r="R81" s="158" t="n">
        <f aca="false">SUM(R77:R80)</f>
        <v>1</v>
      </c>
      <c r="S81" s="180"/>
      <c r="T81" s="173"/>
      <c r="U81" s="56"/>
    </row>
    <row r="82" customFormat="false" ht="20.1" hidden="false" customHeight="true" outlineLevel="0" collapsed="false">
      <c r="B82" s="56"/>
      <c r="C82" s="173"/>
      <c r="D82" s="173"/>
      <c r="E82" s="173"/>
      <c r="F82" s="173"/>
      <c r="G82" s="173"/>
      <c r="H82" s="173"/>
      <c r="I82" s="173"/>
      <c r="J82" s="173"/>
      <c r="K82" s="173"/>
      <c r="L82" s="173"/>
      <c r="M82" s="173"/>
      <c r="N82" s="173"/>
      <c r="O82" s="173"/>
      <c r="P82" s="173"/>
      <c r="Q82" s="173"/>
      <c r="R82" s="173"/>
      <c r="S82" s="173"/>
      <c r="T82" s="173"/>
      <c r="U82" s="56"/>
    </row>
    <row r="83" customFormat="false" ht="20.1" hidden="false" customHeight="true" outlineLevel="0" collapsed="false">
      <c r="B83" s="56"/>
      <c r="D83" s="5"/>
      <c r="E83" s="5"/>
      <c r="F83" s="5"/>
      <c r="G83" s="5"/>
      <c r="H83" s="5"/>
      <c r="I83" s="5"/>
      <c r="J83" s="5"/>
      <c r="U83" s="56"/>
    </row>
    <row r="84" customFormat="false" ht="30" hidden="false" customHeight="true" outlineLevel="0" collapsed="false">
      <c r="B84" s="56"/>
      <c r="C84" s="181"/>
      <c r="D84" s="182" t="s">
        <v>100</v>
      </c>
      <c r="E84" s="182"/>
      <c r="F84" s="182"/>
      <c r="G84" s="182"/>
      <c r="H84" s="182"/>
      <c r="I84" s="182"/>
      <c r="J84" s="182"/>
      <c r="K84" s="182"/>
      <c r="L84" s="182"/>
      <c r="M84" s="182"/>
      <c r="N84" s="182"/>
      <c r="O84" s="182"/>
      <c r="P84" s="182"/>
      <c r="Q84" s="182"/>
      <c r="R84" s="182"/>
      <c r="S84" s="182"/>
      <c r="T84" s="181"/>
      <c r="U84" s="56"/>
    </row>
    <row r="85" customFormat="false" ht="50.1" hidden="false" customHeight="true" outlineLevel="0" collapsed="false">
      <c r="B85" s="56"/>
      <c r="C85" s="181"/>
      <c r="D85" s="183" t="s">
        <v>48</v>
      </c>
      <c r="E85" s="184" t="s">
        <v>49</v>
      </c>
      <c r="F85" s="185" t="s">
        <v>88</v>
      </c>
      <c r="G85" s="186" t="s">
        <v>101</v>
      </c>
      <c r="H85" s="187" t="s">
        <v>102</v>
      </c>
      <c r="I85" s="187"/>
      <c r="J85" s="188" t="s">
        <v>103</v>
      </c>
      <c r="K85" s="189" t="s">
        <v>104</v>
      </c>
      <c r="L85" s="185" t="s">
        <v>105</v>
      </c>
      <c r="M85" s="189" t="s">
        <v>106</v>
      </c>
      <c r="N85" s="185" t="s">
        <v>107</v>
      </c>
      <c r="O85" s="190"/>
      <c r="P85" s="191"/>
      <c r="Q85" s="191"/>
      <c r="R85" s="191"/>
      <c r="S85" s="184" t="s">
        <v>108</v>
      </c>
      <c r="T85" s="181"/>
      <c r="U85" s="56"/>
    </row>
    <row r="86" customFormat="false" ht="20.1" hidden="false" customHeight="true" outlineLevel="0" collapsed="false">
      <c r="B86" s="56"/>
      <c r="C86" s="181"/>
      <c r="D86" s="192" t="s">
        <v>17</v>
      </c>
      <c r="E86" s="193" t="s">
        <v>18</v>
      </c>
      <c r="F86" s="194" t="n">
        <f aca="false">(K86*6+L86*3+M86*1+N86*0)</f>
        <v>18</v>
      </c>
      <c r="G86" s="194" t="n">
        <v>0</v>
      </c>
      <c r="H86" s="195" t="s">
        <v>62</v>
      </c>
      <c r="I86" s="195"/>
      <c r="J86" s="194" t="n">
        <f aca="false">F86+G86</f>
        <v>18</v>
      </c>
      <c r="K86" s="194" t="n">
        <v>3</v>
      </c>
      <c r="L86" s="194" t="n">
        <v>0</v>
      </c>
      <c r="M86" s="194" t="n">
        <v>0</v>
      </c>
      <c r="N86" s="194" t="n">
        <v>1</v>
      </c>
      <c r="O86" s="194"/>
      <c r="P86" s="194"/>
      <c r="Q86" s="194"/>
      <c r="R86" s="194"/>
      <c r="S86" s="196" t="n">
        <f aca="false">(L50+L59+L68+L77)/4</f>
        <v>86.1111111111111</v>
      </c>
      <c r="T86" s="181"/>
      <c r="U86" s="56"/>
      <c r="W86" s="197"/>
      <c r="X86" s="197"/>
      <c r="Y86" s="197"/>
      <c r="Z86" s="197"/>
    </row>
    <row r="87" customFormat="false" ht="20.1" hidden="false" customHeight="true" outlineLevel="0" collapsed="false">
      <c r="B87" s="56"/>
      <c r="C87" s="181"/>
      <c r="D87" s="198" t="s">
        <v>11</v>
      </c>
      <c r="E87" s="199" t="s">
        <v>12</v>
      </c>
      <c r="F87" s="200" t="n">
        <f aca="false">(K87*6+L87*3+M87*1+N87*0)</f>
        <v>10</v>
      </c>
      <c r="G87" s="200" t="n">
        <v>0</v>
      </c>
      <c r="H87" s="201" t="s">
        <v>62</v>
      </c>
      <c r="I87" s="201"/>
      <c r="J87" s="200" t="n">
        <f aca="false">F87+G87</f>
        <v>10</v>
      </c>
      <c r="K87" s="200" t="n">
        <v>1</v>
      </c>
      <c r="L87" s="200" t="n">
        <v>1</v>
      </c>
      <c r="M87" s="200" t="n">
        <v>1</v>
      </c>
      <c r="N87" s="200" t="n">
        <v>1</v>
      </c>
      <c r="O87" s="200"/>
      <c r="P87" s="200"/>
      <c r="Q87" s="200"/>
      <c r="R87" s="200"/>
      <c r="S87" s="202" t="n">
        <f aca="false">(L52+L61+L70+L79)/4</f>
        <v>83.4821971870165</v>
      </c>
      <c r="T87" s="181"/>
      <c r="U87" s="56"/>
      <c r="W87" s="203"/>
      <c r="X87" s="203"/>
      <c r="Y87" s="203"/>
      <c r="Z87" s="203"/>
    </row>
    <row r="88" customFormat="false" ht="20.1" hidden="false" customHeight="true" outlineLevel="0" collapsed="false">
      <c r="B88" s="56"/>
      <c r="C88" s="181"/>
      <c r="D88" s="198" t="s">
        <v>22</v>
      </c>
      <c r="E88" s="199" t="s">
        <v>23</v>
      </c>
      <c r="F88" s="200" t="n">
        <f aca="false">(K88*6+L88*3+M88*1+N88*0)</f>
        <v>7</v>
      </c>
      <c r="G88" s="200" t="n">
        <v>0</v>
      </c>
      <c r="H88" s="201" t="s">
        <v>62</v>
      </c>
      <c r="I88" s="201"/>
      <c r="J88" s="200" t="n">
        <f aca="false">F88+G88</f>
        <v>7</v>
      </c>
      <c r="K88" s="200" t="n">
        <v>0</v>
      </c>
      <c r="L88" s="200" t="n">
        <v>2</v>
      </c>
      <c r="M88" s="200" t="n">
        <v>1</v>
      </c>
      <c r="N88" s="200" t="n">
        <v>1</v>
      </c>
      <c r="O88" s="200"/>
      <c r="P88" s="200"/>
      <c r="Q88" s="200"/>
      <c r="R88" s="200"/>
      <c r="S88" s="202" t="n">
        <f aca="false">(L53+L62+L71+L80)/4</f>
        <v>72.0129435490881</v>
      </c>
      <c r="T88" s="181"/>
      <c r="U88" s="56"/>
      <c r="W88" s="203"/>
      <c r="X88" s="203"/>
      <c r="Y88" s="203"/>
      <c r="Z88" s="203"/>
    </row>
    <row r="89" customFormat="false" ht="20.1" hidden="false" customHeight="true" outlineLevel="0" collapsed="false">
      <c r="B89" s="56"/>
      <c r="C89" s="181"/>
      <c r="D89" s="204" t="s">
        <v>15</v>
      </c>
      <c r="E89" s="205" t="s">
        <v>16</v>
      </c>
      <c r="F89" s="206" t="n">
        <f aca="false">(K89*6+L89*3+M89*1+N89*0)</f>
        <v>5</v>
      </c>
      <c r="G89" s="206" t="n">
        <v>0</v>
      </c>
      <c r="H89" s="207" t="s">
        <v>62</v>
      </c>
      <c r="I89" s="207"/>
      <c r="J89" s="206" t="n">
        <f aca="false">F89+G89</f>
        <v>5</v>
      </c>
      <c r="K89" s="206" t="n">
        <v>0</v>
      </c>
      <c r="L89" s="206" t="n">
        <v>1</v>
      </c>
      <c r="M89" s="206" t="n">
        <v>2</v>
      </c>
      <c r="N89" s="206" t="n">
        <v>1</v>
      </c>
      <c r="O89" s="206"/>
      <c r="P89" s="206"/>
      <c r="Q89" s="206"/>
      <c r="R89" s="206"/>
      <c r="S89" s="208" t="n">
        <f aca="false">(L51+L60+L69+L78)/4</f>
        <v>73.5124480606408</v>
      </c>
      <c r="T89" s="181"/>
      <c r="U89" s="56"/>
      <c r="W89" s="203"/>
      <c r="X89" s="203"/>
      <c r="Y89" s="203"/>
      <c r="Z89" s="203"/>
      <c r="AB89" s="203"/>
      <c r="AC89" s="203"/>
      <c r="AD89" s="203"/>
      <c r="AE89" s="203"/>
    </row>
    <row r="90" customFormat="false" ht="20.1" hidden="false" customHeight="true" outlineLevel="0" collapsed="false">
      <c r="B90" s="56"/>
      <c r="C90" s="181"/>
      <c r="D90" s="209"/>
      <c r="E90" s="209"/>
      <c r="F90" s="210"/>
      <c r="G90" s="210"/>
      <c r="H90" s="211"/>
      <c r="I90" s="211"/>
      <c r="J90" s="210"/>
      <c r="K90" s="210"/>
      <c r="L90" s="210"/>
      <c r="M90" s="210"/>
      <c r="N90" s="210"/>
      <c r="O90" s="210"/>
      <c r="P90" s="210"/>
      <c r="Q90" s="210"/>
      <c r="R90" s="210"/>
      <c r="S90" s="212"/>
      <c r="T90" s="181"/>
      <c r="U90" s="56"/>
      <c r="W90" s="203"/>
      <c r="X90" s="203"/>
      <c r="Y90" s="203"/>
      <c r="Z90" s="203"/>
    </row>
    <row r="91" customFormat="false" ht="20.1" hidden="false" customHeight="true" outlineLevel="0" collapsed="false">
      <c r="B91" s="56"/>
      <c r="C91" s="56"/>
      <c r="D91" s="213"/>
      <c r="E91" s="213"/>
      <c r="F91" s="164"/>
      <c r="G91" s="164"/>
      <c r="H91" s="213"/>
      <c r="I91" s="213"/>
      <c r="J91" s="213"/>
      <c r="K91" s="56"/>
      <c r="L91" s="56"/>
      <c r="M91" s="56"/>
      <c r="N91" s="56"/>
      <c r="O91" s="56"/>
      <c r="P91" s="56"/>
      <c r="Q91" s="56"/>
      <c r="R91" s="56"/>
      <c r="S91" s="56"/>
      <c r="T91" s="56"/>
      <c r="U91" s="56"/>
    </row>
    <row r="92" customFormat="false" ht="20.1" hidden="false" customHeight="true" outlineLevel="0" collapsed="false">
      <c r="D92" s="214"/>
    </row>
    <row r="93" customFormat="false" ht="20.1" hidden="false" customHeight="true" outlineLevel="0" collapsed="false">
      <c r="D93" s="215"/>
    </row>
    <row r="94" customFormat="false" ht="20.1" hidden="false" customHeight="true" outlineLevel="0" collapsed="false">
      <c r="B94" s="56"/>
      <c r="C94" s="56"/>
      <c r="D94" s="57"/>
      <c r="E94" s="57"/>
      <c r="F94" s="57"/>
      <c r="G94" s="57"/>
      <c r="H94" s="56"/>
      <c r="I94" s="56"/>
      <c r="J94" s="56"/>
      <c r="K94" s="56"/>
      <c r="L94" s="56"/>
      <c r="M94" s="56"/>
      <c r="N94" s="56"/>
      <c r="O94" s="56"/>
      <c r="P94" s="56"/>
      <c r="Q94" s="56"/>
      <c r="R94" s="56"/>
      <c r="S94" s="56"/>
      <c r="T94" s="56"/>
      <c r="U94" s="56"/>
    </row>
    <row r="95" customFormat="false" ht="30" hidden="false" customHeight="true" outlineLevel="0" collapsed="false">
      <c r="B95" s="56"/>
      <c r="C95" s="58" t="s">
        <v>109</v>
      </c>
      <c r="D95" s="58"/>
      <c r="E95" s="58"/>
      <c r="F95" s="58"/>
      <c r="G95" s="58"/>
      <c r="H95" s="58"/>
      <c r="I95" s="58"/>
      <c r="J95" s="58"/>
      <c r="K95" s="58"/>
      <c r="L95" s="58"/>
      <c r="M95" s="58"/>
      <c r="N95" s="58"/>
      <c r="O95" s="58"/>
      <c r="P95" s="58"/>
      <c r="Q95" s="58"/>
      <c r="R95" s="58"/>
      <c r="S95" s="58"/>
      <c r="T95" s="58"/>
      <c r="U95" s="56"/>
    </row>
    <row r="96" customFormat="false" ht="20.1" hidden="false" customHeight="true" outlineLevel="0" collapsed="false">
      <c r="B96" s="56"/>
      <c r="U96" s="56"/>
    </row>
    <row r="97" customFormat="false" ht="20.1" hidden="false" customHeight="true" outlineLevel="0" collapsed="false">
      <c r="B97" s="56"/>
      <c r="D97" s="59" t="s">
        <v>48</v>
      </c>
      <c r="E97" s="60" t="s">
        <v>49</v>
      </c>
      <c r="F97" s="61" t="s">
        <v>10</v>
      </c>
      <c r="G97" s="216" t="s">
        <v>50</v>
      </c>
      <c r="H97" s="216"/>
      <c r="I97" s="216"/>
      <c r="J97" s="216"/>
      <c r="K97" s="60" t="s">
        <v>51</v>
      </c>
      <c r="L97" s="62" t="s">
        <v>52</v>
      </c>
      <c r="M97" s="62"/>
      <c r="N97" s="62"/>
      <c r="O97" s="62"/>
      <c r="P97" s="62"/>
      <c r="Q97" s="62"/>
      <c r="R97" s="62"/>
      <c r="S97" s="62"/>
      <c r="U97" s="56"/>
    </row>
    <row r="98" customFormat="false" ht="20.1" hidden="false" customHeight="true" outlineLevel="0" collapsed="false">
      <c r="B98" s="56"/>
      <c r="D98" s="59"/>
      <c r="E98" s="60"/>
      <c r="F98" s="60"/>
      <c r="G98" s="66" t="s">
        <v>53</v>
      </c>
      <c r="H98" s="65" t="s">
        <v>54</v>
      </c>
      <c r="I98" s="61" t="s">
        <v>55</v>
      </c>
      <c r="J98" s="61"/>
      <c r="K98" s="65" t="s">
        <v>56</v>
      </c>
      <c r="L98" s="217" t="s">
        <v>53</v>
      </c>
      <c r="M98" s="218" t="s">
        <v>57</v>
      </c>
      <c r="N98" s="61" t="s">
        <v>55</v>
      </c>
      <c r="O98" s="61"/>
      <c r="P98" s="61"/>
      <c r="Q98" s="61"/>
      <c r="R98" s="61"/>
      <c r="S98" s="61"/>
      <c r="U98" s="56"/>
    </row>
    <row r="99" customFormat="false" ht="15" hidden="false" customHeight="true" outlineLevel="0" collapsed="false">
      <c r="B99" s="56"/>
      <c r="D99" s="67" t="s">
        <v>20</v>
      </c>
      <c r="E99" s="16" t="s">
        <v>21</v>
      </c>
      <c r="F99" s="20" t="n">
        <v>1</v>
      </c>
      <c r="G99" s="68" t="s">
        <v>58</v>
      </c>
      <c r="H99" s="69" t="s">
        <v>61</v>
      </c>
      <c r="I99" s="70" t="s">
        <v>74</v>
      </c>
      <c r="J99" s="70"/>
      <c r="K99" s="219" t="s">
        <v>113</v>
      </c>
      <c r="L99" s="72" t="s">
        <v>62</v>
      </c>
      <c r="M99" s="73" t="s">
        <v>62</v>
      </c>
      <c r="N99" s="220" t="s">
        <v>62</v>
      </c>
      <c r="O99" s="220"/>
      <c r="P99" s="220"/>
      <c r="Q99" s="220"/>
      <c r="R99" s="220"/>
      <c r="S99" s="220"/>
      <c r="U99" s="56"/>
    </row>
    <row r="100" customFormat="false" ht="15" hidden="false" customHeight="true" outlineLevel="0" collapsed="false">
      <c r="B100" s="56"/>
      <c r="D100" s="67"/>
      <c r="E100" s="16"/>
      <c r="F100" s="20"/>
      <c r="G100" s="68"/>
      <c r="H100" s="69"/>
      <c r="I100" s="75" t="s">
        <v>77</v>
      </c>
      <c r="J100" s="75"/>
      <c r="K100" s="219"/>
      <c r="L100" s="72"/>
      <c r="M100" s="73"/>
      <c r="N100" s="220"/>
      <c r="O100" s="220"/>
      <c r="P100" s="220"/>
      <c r="Q100" s="220"/>
      <c r="R100" s="220"/>
      <c r="S100" s="220"/>
      <c r="U100" s="56"/>
    </row>
    <row r="101" customFormat="false" ht="15" hidden="false" customHeight="true" outlineLevel="0" collapsed="false">
      <c r="B101" s="56"/>
      <c r="D101" s="120" t="s">
        <v>28</v>
      </c>
      <c r="E101" s="29" t="s">
        <v>29</v>
      </c>
      <c r="F101" s="26" t="n">
        <v>2</v>
      </c>
      <c r="G101" s="78" t="s">
        <v>58</v>
      </c>
      <c r="H101" s="79" t="s">
        <v>187</v>
      </c>
      <c r="I101" s="80" t="s">
        <v>188</v>
      </c>
      <c r="J101" s="80"/>
      <c r="K101" s="329" t="s">
        <v>113</v>
      </c>
      <c r="L101" s="296" t="s">
        <v>62</v>
      </c>
      <c r="M101" s="83" t="s">
        <v>62</v>
      </c>
      <c r="N101" s="84" t="s">
        <v>62</v>
      </c>
      <c r="O101" s="84"/>
      <c r="P101" s="84"/>
      <c r="Q101" s="84"/>
      <c r="R101" s="84"/>
      <c r="S101" s="84"/>
      <c r="U101" s="56"/>
    </row>
    <row r="102" customFormat="false" ht="15" hidden="false" customHeight="true" outlineLevel="0" collapsed="false">
      <c r="B102" s="56"/>
      <c r="D102" s="120"/>
      <c r="E102" s="29"/>
      <c r="F102" s="26"/>
      <c r="G102" s="78"/>
      <c r="H102" s="79"/>
      <c r="I102" s="85" t="s">
        <v>189</v>
      </c>
      <c r="J102" s="85"/>
      <c r="K102" s="329"/>
      <c r="L102" s="296"/>
      <c r="M102" s="83"/>
      <c r="N102" s="84"/>
      <c r="O102" s="84"/>
      <c r="P102" s="84"/>
      <c r="Q102" s="84"/>
      <c r="R102" s="84"/>
      <c r="S102" s="84"/>
      <c r="U102" s="56"/>
    </row>
    <row r="103" customFormat="false" ht="15" hidden="false" customHeight="true" outlineLevel="0" collapsed="false">
      <c r="B103" s="56"/>
      <c r="D103" s="77" t="s">
        <v>26</v>
      </c>
      <c r="E103" s="23" t="s">
        <v>27</v>
      </c>
      <c r="F103" s="26" t="n">
        <v>3</v>
      </c>
      <c r="G103" s="230" t="s">
        <v>58</v>
      </c>
      <c r="H103" s="330" t="s">
        <v>190</v>
      </c>
      <c r="I103" s="91" t="s">
        <v>191</v>
      </c>
      <c r="J103" s="91"/>
      <c r="K103" s="300" t="s">
        <v>113</v>
      </c>
      <c r="L103" s="296" t="s">
        <v>62</v>
      </c>
      <c r="M103" s="297" t="s">
        <v>62</v>
      </c>
      <c r="N103" s="298" t="s">
        <v>62</v>
      </c>
      <c r="O103" s="298"/>
      <c r="P103" s="298"/>
      <c r="Q103" s="298"/>
      <c r="R103" s="298"/>
      <c r="S103" s="298"/>
      <c r="U103" s="56"/>
    </row>
    <row r="104" customFormat="false" ht="15" hidden="false" customHeight="true" outlineLevel="0" collapsed="false">
      <c r="B104" s="56"/>
      <c r="D104" s="77"/>
      <c r="E104" s="23"/>
      <c r="F104" s="26"/>
      <c r="G104" s="230"/>
      <c r="H104" s="330"/>
      <c r="I104" s="324" t="s">
        <v>192</v>
      </c>
      <c r="J104" s="324"/>
      <c r="K104" s="300"/>
      <c r="L104" s="296"/>
      <c r="M104" s="297"/>
      <c r="N104" s="298"/>
      <c r="O104" s="298"/>
      <c r="P104" s="298"/>
      <c r="Q104" s="298"/>
      <c r="R104" s="298"/>
      <c r="S104" s="298"/>
      <c r="U104" s="56"/>
    </row>
    <row r="105" customFormat="false" ht="15" hidden="false" customHeight="true" outlineLevel="0" collapsed="false">
      <c r="B105" s="56"/>
      <c r="D105" s="236" t="s">
        <v>37</v>
      </c>
      <c r="E105" s="39" t="s">
        <v>38</v>
      </c>
      <c r="F105" s="44" t="n">
        <v>4</v>
      </c>
      <c r="G105" s="237" t="s">
        <v>58</v>
      </c>
      <c r="H105" s="238" t="s">
        <v>193</v>
      </c>
      <c r="I105" s="103" t="s">
        <v>194</v>
      </c>
      <c r="J105" s="103"/>
      <c r="K105" s="239" t="s">
        <v>113</v>
      </c>
      <c r="L105" s="240" t="s">
        <v>62</v>
      </c>
      <c r="M105" s="241" t="s">
        <v>62</v>
      </c>
      <c r="N105" s="242" t="s">
        <v>62</v>
      </c>
      <c r="O105" s="242"/>
      <c r="P105" s="242"/>
      <c r="Q105" s="242"/>
      <c r="R105" s="242"/>
      <c r="S105" s="242"/>
      <c r="U105" s="56"/>
    </row>
    <row r="106" customFormat="false" ht="50.1" hidden="false" customHeight="true" outlineLevel="0" collapsed="false">
      <c r="B106" s="56"/>
      <c r="D106" s="236"/>
      <c r="E106" s="39"/>
      <c r="F106" s="44"/>
      <c r="G106" s="237"/>
      <c r="H106" s="238"/>
      <c r="I106" s="104" t="s">
        <v>195</v>
      </c>
      <c r="J106" s="104"/>
      <c r="K106" s="239"/>
      <c r="L106" s="240"/>
      <c r="M106" s="241"/>
      <c r="N106" s="241"/>
      <c r="O106" s="242"/>
      <c r="P106" s="242"/>
      <c r="Q106" s="242"/>
      <c r="R106" s="242"/>
      <c r="S106" s="242"/>
      <c r="U106" s="56"/>
    </row>
    <row r="107" customFormat="false" ht="20.1" hidden="false" customHeight="true" outlineLevel="0" collapsed="false">
      <c r="B107" s="56"/>
      <c r="U107" s="56"/>
    </row>
    <row r="108" customFormat="false" ht="20.1" hidden="false" customHeight="true" outlineLevel="0" collapsed="false">
      <c r="B108" s="56"/>
      <c r="C108" s="106"/>
      <c r="D108" s="106"/>
      <c r="E108" s="107" t="str">
        <f aca="false">IF(OR(L99="-",L99= ""),H99,L99)</f>
        <v>Res Arcana</v>
      </c>
      <c r="F108" s="107"/>
      <c r="G108" s="107"/>
      <c r="H108" s="107"/>
      <c r="I108" s="107"/>
      <c r="J108" s="107"/>
      <c r="K108" s="107"/>
      <c r="L108" s="107"/>
      <c r="M108" s="107"/>
      <c r="N108" s="107"/>
      <c r="O108" s="108"/>
      <c r="P108" s="108"/>
      <c r="Q108" s="108"/>
      <c r="R108" s="108"/>
      <c r="S108" s="108"/>
      <c r="T108" s="106"/>
      <c r="U108" s="56"/>
    </row>
    <row r="109" customFormat="false" ht="50.1" hidden="false" customHeight="true" outlineLevel="0" collapsed="false">
      <c r="B109" s="56"/>
      <c r="C109" s="106"/>
      <c r="D109" s="108"/>
      <c r="E109" s="59" t="s">
        <v>48</v>
      </c>
      <c r="F109" s="109" t="s">
        <v>80</v>
      </c>
      <c r="G109" s="61" t="s">
        <v>81</v>
      </c>
      <c r="H109" s="60" t="s">
        <v>82</v>
      </c>
      <c r="I109" s="6" t="s">
        <v>83</v>
      </c>
      <c r="J109" s="60" t="s">
        <v>84</v>
      </c>
      <c r="K109" s="110" t="s">
        <v>85</v>
      </c>
      <c r="L109" s="60" t="s">
        <v>86</v>
      </c>
      <c r="M109" s="111" t="s">
        <v>87</v>
      </c>
      <c r="N109" s="61" t="s">
        <v>88</v>
      </c>
      <c r="O109" s="112" t="s">
        <v>89</v>
      </c>
      <c r="P109" s="113" t="s">
        <v>90</v>
      </c>
      <c r="Q109" s="113" t="s">
        <v>91</v>
      </c>
      <c r="R109" s="12" t="s">
        <v>92</v>
      </c>
      <c r="S109" s="108"/>
      <c r="T109" s="106"/>
      <c r="U109" s="56"/>
    </row>
    <row r="110" customFormat="false" ht="20.1" hidden="false" customHeight="true" outlineLevel="0" collapsed="false">
      <c r="B110" s="56"/>
      <c r="C110" s="106"/>
      <c r="D110" s="131"/>
      <c r="E110" s="243" t="s">
        <v>20</v>
      </c>
      <c r="F110" s="244" t="s">
        <v>21</v>
      </c>
      <c r="G110" s="245" t="n">
        <v>3</v>
      </c>
      <c r="H110" s="245" t="s">
        <v>196</v>
      </c>
      <c r="I110" s="245" t="n">
        <v>0</v>
      </c>
      <c r="J110" s="245" t="n">
        <v>13</v>
      </c>
      <c r="K110" s="245" t="s">
        <v>62</v>
      </c>
      <c r="L110" s="246" t="n">
        <f aca="false">IF(J110="",0,(J110/J114)*100)</f>
        <v>100</v>
      </c>
      <c r="M110" s="245" t="n">
        <v>1</v>
      </c>
      <c r="N110" s="247" t="n">
        <v>6</v>
      </c>
      <c r="O110" s="116" t="n">
        <f aca="false">IF(M110=1,1,0)</f>
        <v>1</v>
      </c>
      <c r="P110" s="117" t="n">
        <f aca="false">IF(M110=2,1,0)</f>
        <v>0</v>
      </c>
      <c r="Q110" s="117" t="n">
        <f aca="false">IF(M110=3,1,0)</f>
        <v>0</v>
      </c>
      <c r="R110" s="118" t="n">
        <f aca="false">IF(M110=4,1,0)</f>
        <v>0</v>
      </c>
      <c r="S110" s="119"/>
      <c r="T110" s="106"/>
      <c r="U110" s="56"/>
    </row>
    <row r="111" customFormat="false" ht="20.1" hidden="false" customHeight="true" outlineLevel="0" collapsed="false">
      <c r="B111" s="56"/>
      <c r="C111" s="106"/>
      <c r="D111" s="106"/>
      <c r="E111" s="331" t="s">
        <v>28</v>
      </c>
      <c r="F111" s="29" t="s">
        <v>29</v>
      </c>
      <c r="G111" s="248" t="n">
        <v>1</v>
      </c>
      <c r="H111" s="248" t="s">
        <v>197</v>
      </c>
      <c r="I111" s="248" t="n">
        <v>0</v>
      </c>
      <c r="J111" s="249" t="n">
        <v>8</v>
      </c>
      <c r="K111" s="249" t="s">
        <v>62</v>
      </c>
      <c r="L111" s="250" t="n">
        <f aca="false">IF(J111="",0,(J111/J114)*100)</f>
        <v>61.5384615384615</v>
      </c>
      <c r="M111" s="248" t="n">
        <v>2</v>
      </c>
      <c r="N111" s="251" t="n">
        <v>3</v>
      </c>
      <c r="O111" s="123" t="n">
        <f aca="false">IF(M111=1,1,0)</f>
        <v>0</v>
      </c>
      <c r="P111" s="124" t="n">
        <f aca="false">IF(M111=2,1,0)</f>
        <v>1</v>
      </c>
      <c r="Q111" s="124" t="n">
        <f aca="false">IF(M111=3,1,0)</f>
        <v>0</v>
      </c>
      <c r="R111" s="125" t="n">
        <f aca="false">IF(M111=4,1,0)</f>
        <v>0</v>
      </c>
      <c r="S111" s="119"/>
      <c r="T111" s="106"/>
      <c r="U111" s="56"/>
    </row>
    <row r="112" customFormat="false" ht="20.1" hidden="false" customHeight="true" outlineLevel="0" collapsed="false">
      <c r="B112" s="56"/>
      <c r="C112" s="106"/>
      <c r="D112" s="106"/>
      <c r="E112" s="77" t="s">
        <v>26</v>
      </c>
      <c r="F112" s="29" t="s">
        <v>27</v>
      </c>
      <c r="G112" s="248" t="n">
        <v>4</v>
      </c>
      <c r="H112" s="248" t="s">
        <v>198</v>
      </c>
      <c r="I112" s="248" t="n">
        <v>0</v>
      </c>
      <c r="J112" s="249" t="n">
        <v>6</v>
      </c>
      <c r="K112" s="248" t="s">
        <v>62</v>
      </c>
      <c r="L112" s="250" t="n">
        <f aca="false">IF(J112="",0,(J112/J114)*100)</f>
        <v>46.1538461538462</v>
      </c>
      <c r="M112" s="248" t="n">
        <v>4</v>
      </c>
      <c r="N112" s="251" t="n">
        <v>0</v>
      </c>
      <c r="O112" s="123" t="n">
        <f aca="false">IF(M112=1,1,0)</f>
        <v>0</v>
      </c>
      <c r="P112" s="124" t="n">
        <f aca="false">IF(M112=2,1,0)</f>
        <v>0</v>
      </c>
      <c r="Q112" s="124" t="n">
        <f aca="false">IF(M112=3,1,0)</f>
        <v>0</v>
      </c>
      <c r="R112" s="125" t="n">
        <f aca="false">IF(M112=4,1,0)</f>
        <v>1</v>
      </c>
      <c r="S112" s="119"/>
      <c r="T112" s="106"/>
      <c r="U112" s="56"/>
    </row>
    <row r="113" customFormat="false" ht="20.1" hidden="false" customHeight="true" outlineLevel="0" collapsed="false">
      <c r="B113" s="56"/>
      <c r="C113" s="106"/>
      <c r="D113" s="106"/>
      <c r="E113" s="252" t="s">
        <v>37</v>
      </c>
      <c r="F113" s="39" t="s">
        <v>38</v>
      </c>
      <c r="G113" s="253" t="n">
        <v>2</v>
      </c>
      <c r="H113" s="254" t="s">
        <v>199</v>
      </c>
      <c r="I113" s="253" t="n">
        <v>0</v>
      </c>
      <c r="J113" s="254" t="n">
        <v>7</v>
      </c>
      <c r="K113" s="254" t="s">
        <v>62</v>
      </c>
      <c r="L113" s="255" t="n">
        <f aca="false">IF(J113="",0,(J113/J114)*100)</f>
        <v>53.8461538461539</v>
      </c>
      <c r="M113" s="253" t="n">
        <v>3</v>
      </c>
      <c r="N113" s="256" t="n">
        <v>1</v>
      </c>
      <c r="O113" s="135" t="n">
        <f aca="false">IF(M113=1,1,0)</f>
        <v>0</v>
      </c>
      <c r="P113" s="136" t="n">
        <f aca="false">IF(M113=2,1,0)</f>
        <v>0</v>
      </c>
      <c r="Q113" s="136" t="n">
        <f aca="false">IF(M113=3,1,0)</f>
        <v>1</v>
      </c>
      <c r="R113" s="137" t="n">
        <f aca="false">IF(M113=4,1,0)</f>
        <v>0</v>
      </c>
      <c r="S113" s="119"/>
      <c r="T113" s="106"/>
      <c r="U113" s="56"/>
    </row>
    <row r="114" customFormat="false" ht="20.1" hidden="true" customHeight="true" outlineLevel="1" collapsed="false">
      <c r="B114" s="56"/>
      <c r="C114" s="106"/>
      <c r="D114" s="131"/>
      <c r="E114" s="131"/>
      <c r="F114" s="139"/>
      <c r="G114" s="139"/>
      <c r="H114" s="106"/>
      <c r="I114" s="170" t="s">
        <v>94</v>
      </c>
      <c r="J114" s="141" t="n">
        <f aca="false">MAX(J110:J113)</f>
        <v>13</v>
      </c>
      <c r="K114" s="257"/>
      <c r="L114" s="147"/>
      <c r="M114" s="106"/>
      <c r="N114" s="144" t="s">
        <v>95</v>
      </c>
      <c r="O114" s="145" t="n">
        <f aca="false">SUM(O110:O113)</f>
        <v>1</v>
      </c>
      <c r="P114" s="146" t="n">
        <f aca="false">SUM(P110:P113)</f>
        <v>1</v>
      </c>
      <c r="Q114" s="145" t="n">
        <f aca="false">SUM(Q110:Q113)</f>
        <v>1</v>
      </c>
      <c r="R114" s="158" t="n">
        <f aca="false">SUM(R110:R113)</f>
        <v>1</v>
      </c>
      <c r="S114" s="147"/>
      <c r="T114" s="106"/>
      <c r="U114" s="56"/>
    </row>
    <row r="115" customFormat="false" ht="20.1" hidden="false" customHeight="true" outlineLevel="0" collapsed="false">
      <c r="B115" s="56"/>
      <c r="C115" s="106"/>
      <c r="D115" s="106"/>
      <c r="E115" s="106"/>
      <c r="F115" s="106"/>
      <c r="G115" s="106"/>
      <c r="H115" s="106"/>
      <c r="I115" s="106"/>
      <c r="J115" s="106"/>
      <c r="K115" s="106"/>
      <c r="L115" s="106"/>
      <c r="M115" s="106"/>
      <c r="N115" s="106"/>
      <c r="O115" s="106"/>
      <c r="P115" s="106"/>
      <c r="Q115" s="106"/>
      <c r="R115" s="106"/>
      <c r="S115" s="106"/>
      <c r="T115" s="106"/>
      <c r="U115" s="56"/>
    </row>
    <row r="116" customFormat="false" ht="20.1" hidden="false" customHeight="true" outlineLevel="0" collapsed="false">
      <c r="B116" s="56"/>
      <c r="U116" s="56"/>
    </row>
    <row r="117" customFormat="false" ht="20.1" hidden="false" customHeight="true" outlineLevel="0" collapsed="false">
      <c r="B117" s="56"/>
      <c r="C117" s="149"/>
      <c r="D117" s="149"/>
      <c r="E117" s="150" t="str">
        <f aca="false">IF(OR(M101="-",M101= ""),H101,M101)</f>
        <v>Colt Express</v>
      </c>
      <c r="F117" s="150"/>
      <c r="G117" s="150"/>
      <c r="H117" s="150"/>
      <c r="I117" s="150"/>
      <c r="J117" s="150"/>
      <c r="K117" s="150"/>
      <c r="L117" s="150"/>
      <c r="M117" s="150"/>
      <c r="N117" s="150"/>
      <c r="O117" s="151"/>
      <c r="P117" s="151"/>
      <c r="Q117" s="151"/>
      <c r="R117" s="151"/>
      <c r="S117" s="151"/>
      <c r="T117" s="149"/>
      <c r="U117" s="56"/>
    </row>
    <row r="118" customFormat="false" ht="50.1" hidden="false" customHeight="true" outlineLevel="0" collapsed="false">
      <c r="B118" s="56"/>
      <c r="C118" s="149"/>
      <c r="D118" s="151"/>
      <c r="E118" s="59" t="s">
        <v>48</v>
      </c>
      <c r="F118" s="109" t="s">
        <v>80</v>
      </c>
      <c r="G118" s="61" t="s">
        <v>81</v>
      </c>
      <c r="H118" s="60" t="s">
        <v>82</v>
      </c>
      <c r="I118" s="6" t="s">
        <v>83</v>
      </c>
      <c r="J118" s="60" t="s">
        <v>84</v>
      </c>
      <c r="K118" s="110" t="s">
        <v>85</v>
      </c>
      <c r="L118" s="60" t="s">
        <v>86</v>
      </c>
      <c r="M118" s="111" t="s">
        <v>87</v>
      </c>
      <c r="N118" s="61" t="s">
        <v>88</v>
      </c>
      <c r="O118" s="112" t="s">
        <v>89</v>
      </c>
      <c r="P118" s="113" t="s">
        <v>90</v>
      </c>
      <c r="Q118" s="113" t="s">
        <v>91</v>
      </c>
      <c r="R118" s="12" t="s">
        <v>92</v>
      </c>
      <c r="S118" s="151"/>
      <c r="T118" s="149"/>
      <c r="U118" s="56"/>
    </row>
    <row r="119" customFormat="false" ht="20.1" hidden="false" customHeight="true" outlineLevel="0" collapsed="false">
      <c r="B119" s="56"/>
      <c r="C119" s="149"/>
      <c r="D119" s="153"/>
      <c r="E119" s="67" t="s">
        <v>20</v>
      </c>
      <c r="F119" s="14" t="s">
        <v>21</v>
      </c>
      <c r="G119" s="258" t="n">
        <v>1</v>
      </c>
      <c r="H119" s="258" t="s">
        <v>200</v>
      </c>
      <c r="I119" s="258" t="n">
        <v>250</v>
      </c>
      <c r="J119" s="258" t="n">
        <v>1500</v>
      </c>
      <c r="K119" s="258" t="s">
        <v>62</v>
      </c>
      <c r="L119" s="259" t="n">
        <f aca="false">IF(J119="",0,(J119/J123)*100)</f>
        <v>68.1818181818182</v>
      </c>
      <c r="M119" s="258" t="n">
        <v>2</v>
      </c>
      <c r="N119" s="260" t="n">
        <v>2</v>
      </c>
      <c r="O119" s="116" t="n">
        <f aca="false">IF(M119=1,1,0)</f>
        <v>0</v>
      </c>
      <c r="P119" s="117" t="n">
        <f aca="false">IF(M119=2,1,0)</f>
        <v>1</v>
      </c>
      <c r="Q119" s="117" t="n">
        <f aca="false">IF(M119=3,1,0)</f>
        <v>0</v>
      </c>
      <c r="R119" s="118" t="n">
        <f aca="false">IF(M119=4,1,0)</f>
        <v>0</v>
      </c>
      <c r="S119" s="152"/>
      <c r="T119" s="149"/>
      <c r="U119" s="56"/>
    </row>
    <row r="120" customFormat="false" ht="20.1" hidden="false" customHeight="true" outlineLevel="0" collapsed="false">
      <c r="B120" s="56"/>
      <c r="C120" s="149"/>
      <c r="D120" s="149"/>
      <c r="E120" s="331" t="s">
        <v>28</v>
      </c>
      <c r="F120" s="29" t="s">
        <v>29</v>
      </c>
      <c r="G120" s="248" t="n">
        <v>3</v>
      </c>
      <c r="H120" s="248" t="s">
        <v>201</v>
      </c>
      <c r="I120" s="248" t="n">
        <v>250</v>
      </c>
      <c r="J120" s="249" t="n">
        <v>1000</v>
      </c>
      <c r="K120" s="249" t="s">
        <v>62</v>
      </c>
      <c r="L120" s="250" t="n">
        <f aca="false">IF(J120="",0,(J120/J123)*100)</f>
        <v>45.4545454545455</v>
      </c>
      <c r="M120" s="248" t="n">
        <v>3</v>
      </c>
      <c r="N120" s="251" t="n">
        <v>1</v>
      </c>
      <c r="O120" s="123" t="n">
        <f aca="false">IF(M120=1,1,0)</f>
        <v>0</v>
      </c>
      <c r="P120" s="124" t="n">
        <f aca="false">IF(M120=2,1,0)</f>
        <v>0</v>
      </c>
      <c r="Q120" s="124" t="n">
        <f aca="false">IF(M120=3,1,0)</f>
        <v>1</v>
      </c>
      <c r="R120" s="125" t="n">
        <f aca="false">IF(M120=4,1,0)</f>
        <v>0</v>
      </c>
      <c r="S120" s="152"/>
      <c r="T120" s="149"/>
      <c r="U120" s="56"/>
    </row>
    <row r="121" customFormat="false" ht="20.1" hidden="false" customHeight="true" outlineLevel="0" collapsed="false">
      <c r="B121" s="56"/>
      <c r="C121" s="149"/>
      <c r="D121" s="153"/>
      <c r="E121" s="77" t="s">
        <v>26</v>
      </c>
      <c r="F121" s="29" t="s">
        <v>27</v>
      </c>
      <c r="G121" s="248" t="n">
        <v>4</v>
      </c>
      <c r="H121" s="248" t="s">
        <v>202</v>
      </c>
      <c r="I121" s="248" t="n">
        <v>250</v>
      </c>
      <c r="J121" s="249" t="n">
        <v>900</v>
      </c>
      <c r="K121" s="248" t="s">
        <v>62</v>
      </c>
      <c r="L121" s="250" t="n">
        <f aca="false">IF(J121="",0,(J121/J123)*100)</f>
        <v>40.9090909090909</v>
      </c>
      <c r="M121" s="248" t="n">
        <v>4</v>
      </c>
      <c r="N121" s="251" t="n">
        <v>0</v>
      </c>
      <c r="O121" s="123" t="n">
        <f aca="false">IF(M121=1,1,0)</f>
        <v>0</v>
      </c>
      <c r="P121" s="124" t="n">
        <f aca="false">IF(M121=2,1,0)</f>
        <v>0</v>
      </c>
      <c r="Q121" s="124" t="n">
        <f aca="false">IF(M121=3,1,0)</f>
        <v>0</v>
      </c>
      <c r="R121" s="125" t="n">
        <f aca="false">IF(M121=4,1,0)</f>
        <v>1</v>
      </c>
      <c r="S121" s="152"/>
      <c r="T121" s="149"/>
      <c r="U121" s="56"/>
    </row>
    <row r="122" customFormat="false" ht="20.1" hidden="false" customHeight="true" outlineLevel="0" collapsed="false">
      <c r="B122" s="56"/>
      <c r="C122" s="149"/>
      <c r="D122" s="149"/>
      <c r="E122" s="261" t="s">
        <v>37</v>
      </c>
      <c r="F122" s="262" t="s">
        <v>38</v>
      </c>
      <c r="G122" s="263" t="n">
        <v>2</v>
      </c>
      <c r="H122" s="264" t="s">
        <v>203</v>
      </c>
      <c r="I122" s="263" t="n">
        <v>250</v>
      </c>
      <c r="J122" s="264" t="n">
        <v>2200</v>
      </c>
      <c r="K122" s="264" t="s">
        <v>62</v>
      </c>
      <c r="L122" s="265" t="n">
        <f aca="false">IF(J122="",0,(J122/J123)*100)</f>
        <v>100</v>
      </c>
      <c r="M122" s="263" t="n">
        <v>1</v>
      </c>
      <c r="N122" s="266" t="n">
        <v>6</v>
      </c>
      <c r="O122" s="135" t="n">
        <f aca="false">IF(M122=1,1,0)</f>
        <v>1</v>
      </c>
      <c r="P122" s="136" t="n">
        <f aca="false">IF(M122=2,1,0)</f>
        <v>0</v>
      </c>
      <c r="Q122" s="136" t="n">
        <f aca="false">IF(M122=3,1,0)</f>
        <v>0</v>
      </c>
      <c r="R122" s="137" t="n">
        <f aca="false">IF(M122=4,1,0)</f>
        <v>0</v>
      </c>
      <c r="S122" s="152"/>
      <c r="T122" s="149"/>
      <c r="U122" s="56"/>
    </row>
    <row r="123" customFormat="false" ht="20.1" hidden="true" customHeight="true" outlineLevel="1" collapsed="false">
      <c r="B123" s="56"/>
      <c r="C123" s="149"/>
      <c r="D123" s="149"/>
      <c r="E123" s="149"/>
      <c r="F123" s="155"/>
      <c r="G123" s="155"/>
      <c r="H123" s="149"/>
      <c r="I123" s="170" t="s">
        <v>94</v>
      </c>
      <c r="J123" s="141" t="n">
        <f aca="false">MAX(J119:J122)</f>
        <v>2200</v>
      </c>
      <c r="K123" s="157"/>
      <c r="L123" s="152"/>
      <c r="M123" s="149"/>
      <c r="N123" s="144" t="s">
        <v>95</v>
      </c>
      <c r="O123" s="145" t="n">
        <f aca="false">SUM(O119:O122)</f>
        <v>1</v>
      </c>
      <c r="P123" s="146" t="n">
        <f aca="false">SUM(P119:P122)</f>
        <v>1</v>
      </c>
      <c r="Q123" s="145" t="n">
        <f aca="false">SUM(Q119:Q122)</f>
        <v>1</v>
      </c>
      <c r="R123" s="158" t="n">
        <f aca="false">SUM(R119:R122)</f>
        <v>1</v>
      </c>
      <c r="S123" s="159"/>
      <c r="T123" s="149"/>
      <c r="U123" s="56"/>
    </row>
    <row r="124" customFormat="false" ht="20.1" hidden="false" customHeight="true" outlineLevel="0" collapsed="false">
      <c r="B124" s="56"/>
      <c r="C124" s="149"/>
      <c r="D124" s="149"/>
      <c r="E124" s="149"/>
      <c r="F124" s="149"/>
      <c r="G124" s="149"/>
      <c r="H124" s="149"/>
      <c r="I124" s="149"/>
      <c r="J124" s="149"/>
      <c r="K124" s="149"/>
      <c r="L124" s="149"/>
      <c r="M124" s="149"/>
      <c r="N124" s="149"/>
      <c r="O124" s="149"/>
      <c r="P124" s="149"/>
      <c r="Q124" s="149"/>
      <c r="R124" s="149"/>
      <c r="S124" s="149"/>
      <c r="T124" s="149"/>
      <c r="U124" s="56"/>
    </row>
    <row r="125" customFormat="false" ht="20.1" hidden="false" customHeight="true" outlineLevel="0" collapsed="false">
      <c r="B125" s="56"/>
      <c r="D125" s="45"/>
      <c r="E125" s="45"/>
      <c r="F125" s="45"/>
      <c r="G125" s="45"/>
      <c r="H125" s="160"/>
      <c r="I125" s="45"/>
      <c r="J125" s="45"/>
      <c r="U125" s="56"/>
    </row>
    <row r="126" customFormat="false" ht="20.1" hidden="false" customHeight="true" outlineLevel="0" collapsed="false">
      <c r="B126" s="56"/>
      <c r="C126" s="161"/>
      <c r="D126" s="161"/>
      <c r="E126" s="162" t="str">
        <f aca="false">IF(OR(L103="-",L103= ""),H103,L103)</f>
        <v>Photosynthese</v>
      </c>
      <c r="F126" s="162"/>
      <c r="G126" s="162"/>
      <c r="H126" s="162"/>
      <c r="I126" s="162"/>
      <c r="J126" s="162"/>
      <c r="K126" s="162"/>
      <c r="L126" s="162"/>
      <c r="M126" s="162"/>
      <c r="N126" s="162"/>
      <c r="O126" s="163"/>
      <c r="P126" s="163"/>
      <c r="Q126" s="163"/>
      <c r="R126" s="163"/>
      <c r="S126" s="163"/>
      <c r="T126" s="161"/>
      <c r="U126" s="164"/>
    </row>
    <row r="127" customFormat="false" ht="50.1" hidden="false" customHeight="true" outlineLevel="0" collapsed="false">
      <c r="B127" s="56"/>
      <c r="C127" s="161"/>
      <c r="D127" s="163"/>
      <c r="E127" s="59" t="s">
        <v>48</v>
      </c>
      <c r="F127" s="109" t="s">
        <v>80</v>
      </c>
      <c r="G127" s="61" t="s">
        <v>81</v>
      </c>
      <c r="H127" s="60" t="s">
        <v>82</v>
      </c>
      <c r="I127" s="6" t="s">
        <v>83</v>
      </c>
      <c r="J127" s="60" t="s">
        <v>84</v>
      </c>
      <c r="K127" s="110" t="s">
        <v>85</v>
      </c>
      <c r="L127" s="60" t="s">
        <v>86</v>
      </c>
      <c r="M127" s="111" t="s">
        <v>87</v>
      </c>
      <c r="N127" s="61" t="s">
        <v>88</v>
      </c>
      <c r="O127" s="112" t="s">
        <v>89</v>
      </c>
      <c r="P127" s="113" t="s">
        <v>90</v>
      </c>
      <c r="Q127" s="113" t="s">
        <v>91</v>
      </c>
      <c r="R127" s="12" t="s">
        <v>92</v>
      </c>
      <c r="S127" s="163"/>
      <c r="T127" s="161"/>
      <c r="U127" s="164"/>
    </row>
    <row r="128" customFormat="false" ht="20.1" hidden="false" customHeight="true" outlineLevel="0" collapsed="false">
      <c r="B128" s="56"/>
      <c r="C128" s="161"/>
      <c r="D128" s="167"/>
      <c r="E128" s="67" t="s">
        <v>20</v>
      </c>
      <c r="F128" s="14" t="s">
        <v>21</v>
      </c>
      <c r="G128" s="258" t="n">
        <v>3</v>
      </c>
      <c r="H128" s="258" t="s">
        <v>62</v>
      </c>
      <c r="I128" s="258" t="n">
        <v>0</v>
      </c>
      <c r="J128" s="258" t="n">
        <v>27</v>
      </c>
      <c r="K128" s="258" t="s">
        <v>62</v>
      </c>
      <c r="L128" s="259" t="n">
        <f aca="false">IF(J128="",0,(J128/J132)*100)</f>
        <v>34.6153846153846</v>
      </c>
      <c r="M128" s="258" t="n">
        <v>4</v>
      </c>
      <c r="N128" s="260" t="n">
        <v>0</v>
      </c>
      <c r="O128" s="116" t="n">
        <f aca="false">IF(M128=1,1,0)</f>
        <v>0</v>
      </c>
      <c r="P128" s="117" t="n">
        <f aca="false">IF(M128=2,1,0)</f>
        <v>0</v>
      </c>
      <c r="Q128" s="117" t="n">
        <f aca="false">IF(M128=3,1,0)</f>
        <v>0</v>
      </c>
      <c r="R128" s="118" t="n">
        <f aca="false">IF(M128=4,1,0)</f>
        <v>1</v>
      </c>
      <c r="S128" s="166"/>
      <c r="T128" s="161"/>
      <c r="U128" s="56"/>
    </row>
    <row r="129" customFormat="false" ht="20.1" hidden="false" customHeight="true" outlineLevel="0" collapsed="false">
      <c r="B129" s="56"/>
      <c r="C129" s="161"/>
      <c r="D129" s="161"/>
      <c r="E129" s="331" t="s">
        <v>28</v>
      </c>
      <c r="F129" s="29" t="s">
        <v>29</v>
      </c>
      <c r="G129" s="248" t="n">
        <v>4</v>
      </c>
      <c r="H129" s="248" t="s">
        <v>62</v>
      </c>
      <c r="I129" s="248" t="n">
        <v>0</v>
      </c>
      <c r="J129" s="249" t="n">
        <v>42</v>
      </c>
      <c r="K129" s="249" t="s">
        <v>62</v>
      </c>
      <c r="L129" s="250" t="n">
        <f aca="false">IF(J129="",0,(J129/J132)*100)</f>
        <v>53.8461538461539</v>
      </c>
      <c r="M129" s="248" t="n">
        <v>3</v>
      </c>
      <c r="N129" s="251" t="n">
        <v>1</v>
      </c>
      <c r="O129" s="123" t="n">
        <f aca="false">IF(M129=1,1,0)</f>
        <v>0</v>
      </c>
      <c r="P129" s="124" t="n">
        <f aca="false">IF(M129=2,1,0)</f>
        <v>0</v>
      </c>
      <c r="Q129" s="124" t="n">
        <f aca="false">IF(M129=3,1,0)</f>
        <v>1</v>
      </c>
      <c r="R129" s="125" t="n">
        <f aca="false">IF(M129=4,1,0)</f>
        <v>0</v>
      </c>
      <c r="S129" s="166"/>
      <c r="T129" s="161"/>
      <c r="U129" s="168"/>
    </row>
    <row r="130" customFormat="false" ht="20.1" hidden="false" customHeight="true" outlineLevel="0" collapsed="false">
      <c r="B130" s="56"/>
      <c r="C130" s="161"/>
      <c r="D130" s="161"/>
      <c r="E130" s="77" t="s">
        <v>26</v>
      </c>
      <c r="F130" s="29" t="s">
        <v>27</v>
      </c>
      <c r="G130" s="248" t="n">
        <v>1</v>
      </c>
      <c r="H130" s="248" t="s">
        <v>62</v>
      </c>
      <c r="I130" s="248" t="n">
        <v>0</v>
      </c>
      <c r="J130" s="249" t="n">
        <v>75</v>
      </c>
      <c r="K130" s="248" t="s">
        <v>62</v>
      </c>
      <c r="L130" s="250" t="n">
        <f aca="false">IF(J130="",0,(J130/J132)*100)</f>
        <v>96.1538461538462</v>
      </c>
      <c r="M130" s="248" t="n">
        <v>2</v>
      </c>
      <c r="N130" s="251" t="n">
        <v>3</v>
      </c>
      <c r="O130" s="123" t="n">
        <f aca="false">IF(M130=1,1,0)</f>
        <v>0</v>
      </c>
      <c r="P130" s="124" t="n">
        <f aca="false">IF(M130=2,1,0)</f>
        <v>1</v>
      </c>
      <c r="Q130" s="124" t="n">
        <f aca="false">IF(M130=3,1,0)</f>
        <v>0</v>
      </c>
      <c r="R130" s="125" t="n">
        <f aca="false">IF(M130=4,1,0)</f>
        <v>0</v>
      </c>
      <c r="S130" s="166"/>
      <c r="T130" s="161"/>
      <c r="U130" s="168"/>
    </row>
    <row r="131" customFormat="false" ht="20.1" hidden="false" customHeight="true" outlineLevel="0" collapsed="false">
      <c r="B131" s="56"/>
      <c r="C131" s="161"/>
      <c r="D131" s="161"/>
      <c r="E131" s="261" t="s">
        <v>37</v>
      </c>
      <c r="F131" s="262" t="s">
        <v>38</v>
      </c>
      <c r="G131" s="263" t="n">
        <v>2</v>
      </c>
      <c r="H131" s="264" t="s">
        <v>62</v>
      </c>
      <c r="I131" s="263" t="n">
        <v>0</v>
      </c>
      <c r="J131" s="264" t="n">
        <v>78</v>
      </c>
      <c r="K131" s="264" t="s">
        <v>62</v>
      </c>
      <c r="L131" s="265" t="n">
        <f aca="false">IF(J131="",0,(J131/J132)*100)</f>
        <v>100</v>
      </c>
      <c r="M131" s="263" t="n">
        <v>1</v>
      </c>
      <c r="N131" s="266" t="n">
        <v>6</v>
      </c>
      <c r="O131" s="135" t="n">
        <f aca="false">IF(M131=1,1,0)</f>
        <v>1</v>
      </c>
      <c r="P131" s="136" t="n">
        <f aca="false">IF(M131=2,1,0)</f>
        <v>0</v>
      </c>
      <c r="Q131" s="136" t="n">
        <f aca="false">IF(M131=3,1,0)</f>
        <v>0</v>
      </c>
      <c r="R131" s="137" t="n">
        <f aca="false">IF(M131=4,1,0)</f>
        <v>0</v>
      </c>
      <c r="S131" s="166"/>
      <c r="T131" s="161"/>
      <c r="U131" s="168"/>
    </row>
    <row r="132" customFormat="false" ht="20.1" hidden="true" customHeight="true" outlineLevel="1" collapsed="false">
      <c r="B132" s="56"/>
      <c r="C132" s="161"/>
      <c r="D132" s="161"/>
      <c r="E132" s="161"/>
      <c r="F132" s="169"/>
      <c r="G132" s="169"/>
      <c r="H132" s="161"/>
      <c r="I132" s="170" t="s">
        <v>94</v>
      </c>
      <c r="J132" s="141" t="n">
        <f aca="false">MAX(J128:J131)</f>
        <v>78</v>
      </c>
      <c r="K132" s="171"/>
      <c r="L132" s="166"/>
      <c r="M132" s="161"/>
      <c r="N132" s="144" t="s">
        <v>95</v>
      </c>
      <c r="O132" s="145" t="n">
        <f aca="false">SUM(O128:O131)</f>
        <v>1</v>
      </c>
      <c r="P132" s="146" t="n">
        <f aca="false">SUM(P128:P131)</f>
        <v>1</v>
      </c>
      <c r="Q132" s="145" t="n">
        <f aca="false">SUM(Q128:Q131)</f>
        <v>1</v>
      </c>
      <c r="R132" s="158" t="n">
        <f aca="false">SUM(R128:R131)</f>
        <v>1</v>
      </c>
      <c r="S132" s="172"/>
      <c r="T132" s="161"/>
      <c r="U132" s="168"/>
    </row>
    <row r="133" customFormat="false" ht="20.1" hidden="false" customHeight="true" outlineLevel="0" collapsed="false">
      <c r="B133" s="56"/>
      <c r="C133" s="161"/>
      <c r="D133" s="161"/>
      <c r="E133" s="161"/>
      <c r="F133" s="161"/>
      <c r="G133" s="161"/>
      <c r="H133" s="161"/>
      <c r="I133" s="161"/>
      <c r="J133" s="161"/>
      <c r="K133" s="161"/>
      <c r="L133" s="161"/>
      <c r="M133" s="161"/>
      <c r="N133" s="161"/>
      <c r="O133" s="161"/>
      <c r="P133" s="161"/>
      <c r="Q133" s="161"/>
      <c r="R133" s="161"/>
      <c r="S133" s="161"/>
      <c r="T133" s="161"/>
      <c r="U133" s="168"/>
    </row>
    <row r="134" customFormat="false" ht="20.1" hidden="false" customHeight="true" outlineLevel="0" collapsed="false">
      <c r="B134" s="56"/>
      <c r="D134" s="45"/>
      <c r="E134" s="45"/>
      <c r="F134" s="45"/>
      <c r="G134" s="45"/>
      <c r="H134" s="160"/>
      <c r="I134" s="45"/>
      <c r="J134" s="45"/>
      <c r="K134" s="45"/>
      <c r="U134" s="56"/>
    </row>
    <row r="135" customFormat="false" ht="20.1" hidden="false" customHeight="true" outlineLevel="0" collapsed="false">
      <c r="B135" s="56"/>
      <c r="C135" s="173"/>
      <c r="D135" s="173"/>
      <c r="E135" s="174" t="str">
        <f aca="false">IF(OR(L105="-",L105= ""),H105,L105)</f>
        <v>Dice Hospital</v>
      </c>
      <c r="F135" s="174"/>
      <c r="G135" s="174"/>
      <c r="H135" s="174"/>
      <c r="I135" s="174"/>
      <c r="J135" s="174"/>
      <c r="K135" s="174"/>
      <c r="L135" s="174"/>
      <c r="M135" s="174"/>
      <c r="N135" s="174"/>
      <c r="O135" s="175"/>
      <c r="P135" s="175"/>
      <c r="Q135" s="175"/>
      <c r="R135" s="175"/>
      <c r="S135" s="175"/>
      <c r="T135" s="173"/>
      <c r="U135" s="56"/>
    </row>
    <row r="136" customFormat="false" ht="50.1" hidden="false" customHeight="true" outlineLevel="0" collapsed="false">
      <c r="B136" s="56"/>
      <c r="C136" s="173"/>
      <c r="D136" s="175"/>
      <c r="E136" s="59" t="s">
        <v>48</v>
      </c>
      <c r="F136" s="109" t="s">
        <v>80</v>
      </c>
      <c r="G136" s="61" t="s">
        <v>81</v>
      </c>
      <c r="H136" s="60" t="s">
        <v>82</v>
      </c>
      <c r="I136" s="6" t="s">
        <v>83</v>
      </c>
      <c r="J136" s="60" t="s">
        <v>84</v>
      </c>
      <c r="K136" s="110" t="s">
        <v>85</v>
      </c>
      <c r="L136" s="60" t="s">
        <v>86</v>
      </c>
      <c r="M136" s="111" t="s">
        <v>87</v>
      </c>
      <c r="N136" s="61" t="s">
        <v>88</v>
      </c>
      <c r="O136" s="112" t="s">
        <v>89</v>
      </c>
      <c r="P136" s="113" t="s">
        <v>90</v>
      </c>
      <c r="Q136" s="113" t="s">
        <v>91</v>
      </c>
      <c r="R136" s="12" t="s">
        <v>92</v>
      </c>
      <c r="S136" s="175"/>
      <c r="T136" s="173"/>
      <c r="U136" s="56"/>
    </row>
    <row r="137" customFormat="false" ht="20.1" hidden="false" customHeight="true" outlineLevel="0" collapsed="false">
      <c r="B137" s="56"/>
      <c r="C137" s="173"/>
      <c r="D137" s="173"/>
      <c r="E137" s="67" t="s">
        <v>20</v>
      </c>
      <c r="F137" s="14" t="s">
        <v>21</v>
      </c>
      <c r="G137" s="258" t="n">
        <v>3</v>
      </c>
      <c r="H137" s="258" t="s">
        <v>204</v>
      </c>
      <c r="I137" s="258" t="n">
        <v>0</v>
      </c>
      <c r="J137" s="258" t="n">
        <v>31</v>
      </c>
      <c r="K137" s="258" t="s">
        <v>62</v>
      </c>
      <c r="L137" s="259" t="n">
        <f aca="false">IF(J137="",0,(J137/J141)*100)</f>
        <v>64.5833333333333</v>
      </c>
      <c r="M137" s="258" t="n">
        <v>3</v>
      </c>
      <c r="N137" s="260" t="n">
        <v>1</v>
      </c>
      <c r="O137" s="116" t="n">
        <f aca="false">IF(M137=1,1,0)</f>
        <v>0</v>
      </c>
      <c r="P137" s="117" t="n">
        <f aca="false">IF(M137=2,1,0)</f>
        <v>0</v>
      </c>
      <c r="Q137" s="117" t="n">
        <f aca="false">IF(M137=3,1,0)</f>
        <v>1</v>
      </c>
      <c r="R137" s="118" t="n">
        <f aca="false">IF(M137=4,1,0)</f>
        <v>0</v>
      </c>
      <c r="S137" s="176"/>
      <c r="T137" s="173"/>
      <c r="U137" s="56"/>
    </row>
    <row r="138" customFormat="false" ht="20.1" hidden="false" customHeight="true" outlineLevel="0" collapsed="false">
      <c r="B138" s="56"/>
      <c r="C138" s="173"/>
      <c r="D138" s="173"/>
      <c r="E138" s="331" t="s">
        <v>28</v>
      </c>
      <c r="F138" s="29" t="s">
        <v>29</v>
      </c>
      <c r="G138" s="248" t="n">
        <v>4</v>
      </c>
      <c r="H138" s="248" t="s">
        <v>205</v>
      </c>
      <c r="I138" s="248" t="n">
        <v>0</v>
      </c>
      <c r="J138" s="249" t="n">
        <v>23</v>
      </c>
      <c r="K138" s="249" t="s">
        <v>62</v>
      </c>
      <c r="L138" s="250" t="n">
        <f aca="false">IF(J138="",0,(J138/J141)*100)</f>
        <v>47.9166666666667</v>
      </c>
      <c r="M138" s="248" t="n">
        <v>4</v>
      </c>
      <c r="N138" s="251" t="n">
        <v>0</v>
      </c>
      <c r="O138" s="123" t="n">
        <f aca="false">IF(M138=1,1,0)</f>
        <v>0</v>
      </c>
      <c r="P138" s="124" t="n">
        <f aca="false">IF(M138=2,1,0)</f>
        <v>0</v>
      </c>
      <c r="Q138" s="124" t="n">
        <f aca="false">IF(M138=3,1,0)</f>
        <v>0</v>
      </c>
      <c r="R138" s="125" t="n">
        <f aca="false">IF(M138=4,1,0)</f>
        <v>1</v>
      </c>
      <c r="S138" s="176"/>
      <c r="T138" s="173"/>
      <c r="U138" s="56"/>
    </row>
    <row r="139" customFormat="false" ht="20.1" hidden="false" customHeight="true" outlineLevel="0" collapsed="false">
      <c r="B139" s="56"/>
      <c r="C139" s="173"/>
      <c r="D139" s="173"/>
      <c r="E139" s="77" t="s">
        <v>26</v>
      </c>
      <c r="F139" s="29" t="s">
        <v>27</v>
      </c>
      <c r="G139" s="248" t="n">
        <v>1</v>
      </c>
      <c r="H139" s="248" t="s">
        <v>206</v>
      </c>
      <c r="I139" s="248" t="n">
        <v>0</v>
      </c>
      <c r="J139" s="249" t="n">
        <v>40</v>
      </c>
      <c r="K139" s="248" t="s">
        <v>62</v>
      </c>
      <c r="L139" s="250" t="n">
        <f aca="false">IF(J139="",0,(J139/J141)*100)</f>
        <v>83.3333333333333</v>
      </c>
      <c r="M139" s="248" t="n">
        <v>2</v>
      </c>
      <c r="N139" s="251" t="n">
        <v>3</v>
      </c>
      <c r="O139" s="123" t="n">
        <f aca="false">IF(M139=1,1,0)</f>
        <v>0</v>
      </c>
      <c r="P139" s="124" t="n">
        <f aca="false">IF(M139=2,1,0)</f>
        <v>1</v>
      </c>
      <c r="Q139" s="124" t="n">
        <f aca="false">IF(M139=3,1,0)</f>
        <v>0</v>
      </c>
      <c r="R139" s="125" t="n">
        <f aca="false">IF(M139=4,1,0)</f>
        <v>0</v>
      </c>
      <c r="S139" s="176"/>
      <c r="T139" s="173"/>
      <c r="U139" s="56"/>
    </row>
    <row r="140" customFormat="false" ht="20.1" hidden="false" customHeight="true" outlineLevel="0" collapsed="false">
      <c r="B140" s="56"/>
      <c r="C140" s="173"/>
      <c r="D140" s="177"/>
      <c r="E140" s="261" t="s">
        <v>37</v>
      </c>
      <c r="F140" s="262" t="s">
        <v>38</v>
      </c>
      <c r="G140" s="263" t="n">
        <v>2</v>
      </c>
      <c r="H140" s="264" t="s">
        <v>207</v>
      </c>
      <c r="I140" s="263" t="n">
        <v>0</v>
      </c>
      <c r="J140" s="264" t="n">
        <v>48</v>
      </c>
      <c r="K140" s="264" t="s">
        <v>62</v>
      </c>
      <c r="L140" s="265" t="n">
        <f aca="false">IF(J140="",0,(J140/J141)*100)</f>
        <v>100</v>
      </c>
      <c r="M140" s="263" t="n">
        <v>1</v>
      </c>
      <c r="N140" s="266" t="n">
        <v>6</v>
      </c>
      <c r="O140" s="135" t="n">
        <f aca="false">IF(M140=1,1,0)</f>
        <v>1</v>
      </c>
      <c r="P140" s="136" t="n">
        <f aca="false">IF(M140=2,1,0)</f>
        <v>0</v>
      </c>
      <c r="Q140" s="136" t="n">
        <f aca="false">IF(M140=3,1,0)</f>
        <v>0</v>
      </c>
      <c r="R140" s="137" t="n">
        <f aca="false">IF(M140=4,1,0)</f>
        <v>0</v>
      </c>
      <c r="S140" s="176"/>
      <c r="T140" s="173"/>
      <c r="U140" s="56"/>
    </row>
    <row r="141" customFormat="false" ht="20.1" hidden="true" customHeight="true" outlineLevel="1" collapsed="false">
      <c r="B141" s="56"/>
      <c r="C141" s="173"/>
      <c r="D141" s="173"/>
      <c r="E141" s="173"/>
      <c r="F141" s="178"/>
      <c r="G141" s="178"/>
      <c r="H141" s="173"/>
      <c r="I141" s="170" t="s">
        <v>94</v>
      </c>
      <c r="J141" s="141" t="n">
        <f aca="false">MAX(J137:J140)</f>
        <v>48</v>
      </c>
      <c r="K141" s="179"/>
      <c r="L141" s="176"/>
      <c r="M141" s="173"/>
      <c r="N141" s="144" t="s">
        <v>95</v>
      </c>
      <c r="O141" s="145" t="n">
        <f aca="false">SUM(O137:O140)</f>
        <v>1</v>
      </c>
      <c r="P141" s="146" t="n">
        <f aca="false">SUM(P137:P140)</f>
        <v>1</v>
      </c>
      <c r="Q141" s="145" t="n">
        <f aca="false">SUM(Q137:Q140)</f>
        <v>1</v>
      </c>
      <c r="R141" s="158" t="n">
        <f aca="false">SUM(R137:R140)</f>
        <v>1</v>
      </c>
      <c r="S141" s="180"/>
      <c r="T141" s="173"/>
      <c r="U141" s="56"/>
    </row>
    <row r="142" customFormat="false" ht="20.1" hidden="false" customHeight="true" outlineLevel="0" collapsed="false">
      <c r="B142" s="56"/>
      <c r="C142" s="173"/>
      <c r="D142" s="173"/>
      <c r="E142" s="173"/>
      <c r="F142" s="173"/>
      <c r="G142" s="173"/>
      <c r="H142" s="173"/>
      <c r="I142" s="173"/>
      <c r="J142" s="173"/>
      <c r="K142" s="173"/>
      <c r="L142" s="173"/>
      <c r="M142" s="173"/>
      <c r="N142" s="173"/>
      <c r="O142" s="173"/>
      <c r="P142" s="173"/>
      <c r="Q142" s="173"/>
      <c r="R142" s="173"/>
      <c r="S142" s="173"/>
      <c r="T142" s="173"/>
      <c r="U142" s="56"/>
    </row>
    <row r="143" customFormat="false" ht="20.1" hidden="false" customHeight="true" outlineLevel="0" collapsed="false">
      <c r="B143" s="56"/>
      <c r="D143" s="5"/>
      <c r="E143" s="5"/>
      <c r="F143" s="5"/>
      <c r="G143" s="5"/>
      <c r="H143" s="5"/>
      <c r="I143" s="5"/>
      <c r="J143" s="5"/>
      <c r="U143" s="56"/>
    </row>
    <row r="144" customFormat="false" ht="30" hidden="false" customHeight="true" outlineLevel="0" collapsed="false">
      <c r="B144" s="56"/>
      <c r="C144" s="181"/>
      <c r="D144" s="182" t="s">
        <v>133</v>
      </c>
      <c r="E144" s="182"/>
      <c r="F144" s="182"/>
      <c r="G144" s="182"/>
      <c r="H144" s="182"/>
      <c r="I144" s="182"/>
      <c r="J144" s="182"/>
      <c r="K144" s="182"/>
      <c r="L144" s="182"/>
      <c r="M144" s="182"/>
      <c r="N144" s="182"/>
      <c r="O144" s="182"/>
      <c r="P144" s="182"/>
      <c r="Q144" s="182"/>
      <c r="R144" s="182"/>
      <c r="S144" s="182"/>
      <c r="T144" s="181"/>
      <c r="U144" s="56"/>
    </row>
    <row r="145" customFormat="false" ht="50.1" hidden="false" customHeight="true" outlineLevel="0" collapsed="false">
      <c r="B145" s="56"/>
      <c r="C145" s="181"/>
      <c r="D145" s="183" t="s">
        <v>48</v>
      </c>
      <c r="E145" s="184" t="s">
        <v>49</v>
      </c>
      <c r="F145" s="185" t="s">
        <v>88</v>
      </c>
      <c r="G145" s="186" t="s">
        <v>101</v>
      </c>
      <c r="H145" s="187" t="s">
        <v>102</v>
      </c>
      <c r="I145" s="187"/>
      <c r="J145" s="188" t="s">
        <v>103</v>
      </c>
      <c r="K145" s="189" t="s">
        <v>104</v>
      </c>
      <c r="L145" s="185" t="s">
        <v>105</v>
      </c>
      <c r="M145" s="189" t="s">
        <v>106</v>
      </c>
      <c r="N145" s="185" t="s">
        <v>107</v>
      </c>
      <c r="O145" s="190"/>
      <c r="P145" s="191"/>
      <c r="Q145" s="191"/>
      <c r="R145" s="191"/>
      <c r="S145" s="184" t="s">
        <v>108</v>
      </c>
      <c r="T145" s="181"/>
      <c r="U145" s="56"/>
    </row>
    <row r="146" customFormat="false" ht="20.1" hidden="false" customHeight="true" outlineLevel="0" collapsed="false">
      <c r="B146" s="56"/>
      <c r="C146" s="181"/>
      <c r="D146" s="267" t="s">
        <v>37</v>
      </c>
      <c r="E146" s="268" t="s">
        <v>38</v>
      </c>
      <c r="F146" s="269" t="n">
        <f aca="false">K146*6+L146*3+M146*1+N146*0</f>
        <v>19</v>
      </c>
      <c r="G146" s="270" t="n">
        <v>0</v>
      </c>
      <c r="H146" s="270" t="s">
        <v>62</v>
      </c>
      <c r="I146" s="270"/>
      <c r="J146" s="269" t="n">
        <f aca="false">F146+G146</f>
        <v>19</v>
      </c>
      <c r="K146" s="269" t="n">
        <v>3</v>
      </c>
      <c r="L146" s="269" t="n">
        <v>0</v>
      </c>
      <c r="M146" s="269" t="n">
        <v>1</v>
      </c>
      <c r="N146" s="269" t="n">
        <v>0</v>
      </c>
      <c r="O146" s="271"/>
      <c r="P146" s="270"/>
      <c r="Q146" s="270"/>
      <c r="R146" s="270"/>
      <c r="S146" s="272" t="n">
        <f aca="false">(L113++L122+L131+L140)/4</f>
        <v>88.4615384615385</v>
      </c>
      <c r="T146" s="181"/>
      <c r="U146" s="56"/>
    </row>
    <row r="147" customFormat="false" ht="20.1" hidden="false" customHeight="true" outlineLevel="0" collapsed="false">
      <c r="B147" s="56"/>
      <c r="C147" s="181"/>
      <c r="D147" s="273" t="s">
        <v>20</v>
      </c>
      <c r="E147" s="274" t="s">
        <v>21</v>
      </c>
      <c r="F147" s="275" t="n">
        <f aca="false">K147*6+L147*3+M147*1+N147*0</f>
        <v>10</v>
      </c>
      <c r="G147" s="276" t="n">
        <v>0</v>
      </c>
      <c r="H147" s="276" t="s">
        <v>62</v>
      </c>
      <c r="I147" s="276"/>
      <c r="J147" s="275" t="n">
        <f aca="false">F147+G147</f>
        <v>10</v>
      </c>
      <c r="K147" s="275" t="n">
        <v>1</v>
      </c>
      <c r="L147" s="275" t="n">
        <v>1</v>
      </c>
      <c r="M147" s="275" t="n">
        <v>1</v>
      </c>
      <c r="N147" s="275" t="n">
        <v>1</v>
      </c>
      <c r="O147" s="277"/>
      <c r="P147" s="276"/>
      <c r="Q147" s="276"/>
      <c r="R147" s="276"/>
      <c r="S147" s="278" t="n">
        <f aca="false">(L110+L119+L128+L137)/4</f>
        <v>66.845134032634</v>
      </c>
      <c r="T147" s="181"/>
      <c r="U147" s="56"/>
      <c r="Y147" s="279"/>
      <c r="Z147" s="279"/>
      <c r="AA147" s="280"/>
      <c r="AB147" s="280"/>
      <c r="AC147" s="281"/>
      <c r="AD147" s="281"/>
      <c r="AE147" s="281"/>
    </row>
    <row r="148" customFormat="false" ht="20.1" hidden="false" customHeight="true" outlineLevel="0" collapsed="false">
      <c r="B148" s="56"/>
      <c r="C148" s="181"/>
      <c r="D148" s="273" t="s">
        <v>26</v>
      </c>
      <c r="E148" s="274" t="s">
        <v>27</v>
      </c>
      <c r="F148" s="275" t="n">
        <f aca="false">K148*6+L148*3+M148*1+N148*0</f>
        <v>6</v>
      </c>
      <c r="G148" s="276" t="n">
        <v>0</v>
      </c>
      <c r="H148" s="276" t="s">
        <v>62</v>
      </c>
      <c r="I148" s="276"/>
      <c r="J148" s="275" t="n">
        <f aca="false">F148+G148</f>
        <v>6</v>
      </c>
      <c r="K148" s="275" t="n">
        <v>0</v>
      </c>
      <c r="L148" s="275" t="n">
        <v>2</v>
      </c>
      <c r="M148" s="275" t="n">
        <v>0</v>
      </c>
      <c r="N148" s="275" t="n">
        <v>2</v>
      </c>
      <c r="O148" s="277"/>
      <c r="P148" s="276"/>
      <c r="Q148" s="276"/>
      <c r="R148" s="276"/>
      <c r="S148" s="278" t="n">
        <f aca="false">(L112+L121+L130+L139)/4</f>
        <v>66.6375291375291</v>
      </c>
      <c r="T148" s="181"/>
      <c r="U148" s="56"/>
    </row>
    <row r="149" customFormat="false" ht="20.1" hidden="false" customHeight="true" outlineLevel="0" collapsed="false">
      <c r="B149" s="56"/>
      <c r="C149" s="181"/>
      <c r="D149" s="282" t="s">
        <v>28</v>
      </c>
      <c r="E149" s="283" t="s">
        <v>29</v>
      </c>
      <c r="F149" s="284" t="n">
        <f aca="false">K149*6+L149*3+M149*1+N149*0</f>
        <v>5</v>
      </c>
      <c r="G149" s="285" t="n">
        <v>0</v>
      </c>
      <c r="H149" s="285" t="s">
        <v>62</v>
      </c>
      <c r="I149" s="285"/>
      <c r="J149" s="284" t="n">
        <f aca="false">F149+G149</f>
        <v>5</v>
      </c>
      <c r="K149" s="284" t="n">
        <v>0</v>
      </c>
      <c r="L149" s="284" t="n">
        <v>1</v>
      </c>
      <c r="M149" s="284" t="n">
        <v>2</v>
      </c>
      <c r="N149" s="284" t="n">
        <v>1</v>
      </c>
      <c r="O149" s="286"/>
      <c r="P149" s="285"/>
      <c r="Q149" s="285"/>
      <c r="R149" s="285"/>
      <c r="S149" s="287" t="n">
        <f aca="false">(L111+L120+L129+L138)/4</f>
        <v>52.1889568764569</v>
      </c>
      <c r="T149" s="181"/>
      <c r="U149" s="56"/>
    </row>
    <row r="150" customFormat="false" ht="20.1" hidden="false" customHeight="true" outlineLevel="0" collapsed="false">
      <c r="B150" s="56"/>
      <c r="C150" s="181"/>
      <c r="D150" s="209"/>
      <c r="E150" s="209"/>
      <c r="F150" s="288"/>
      <c r="G150" s="289"/>
      <c r="H150" s="290"/>
      <c r="I150" s="290"/>
      <c r="J150" s="288"/>
      <c r="K150" s="288"/>
      <c r="L150" s="288"/>
      <c r="M150" s="288"/>
      <c r="N150" s="288"/>
      <c r="O150" s="291"/>
      <c r="P150" s="289"/>
      <c r="Q150" s="289"/>
      <c r="R150" s="289"/>
      <c r="S150" s="292"/>
      <c r="T150" s="181"/>
      <c r="U150" s="56"/>
    </row>
    <row r="151" customFormat="false" ht="20.1" hidden="false" customHeight="true" outlineLevel="0" collapsed="false">
      <c r="B151" s="56"/>
      <c r="C151" s="56"/>
      <c r="D151" s="213"/>
      <c r="E151" s="213"/>
      <c r="F151" s="164"/>
      <c r="G151" s="164"/>
      <c r="H151" s="213"/>
      <c r="I151" s="213"/>
      <c r="J151" s="213"/>
      <c r="K151" s="56"/>
      <c r="L151" s="56"/>
      <c r="M151" s="56"/>
      <c r="N151" s="56"/>
      <c r="O151" s="56"/>
      <c r="P151" s="56"/>
      <c r="Q151" s="56"/>
      <c r="R151" s="56"/>
      <c r="S151" s="56"/>
      <c r="T151" s="56"/>
      <c r="U151" s="56"/>
    </row>
    <row r="152" customFormat="false" ht="20.1" hidden="false" customHeight="true" outlineLevel="0" collapsed="false"/>
    <row r="153" customFormat="false" ht="20.1" hidden="false" customHeight="true" outlineLevel="0" collapsed="false"/>
    <row r="154" customFormat="false" ht="20.1" hidden="false" customHeight="true" outlineLevel="0" collapsed="false">
      <c r="B154" s="56"/>
      <c r="C154" s="56"/>
      <c r="D154" s="57"/>
      <c r="E154" s="57"/>
      <c r="F154" s="57"/>
      <c r="G154" s="57"/>
      <c r="H154" s="56"/>
      <c r="I154" s="56"/>
      <c r="J154" s="56"/>
      <c r="K154" s="56"/>
      <c r="L154" s="56"/>
      <c r="M154" s="56"/>
      <c r="N154" s="56"/>
      <c r="O154" s="56"/>
      <c r="P154" s="56"/>
      <c r="Q154" s="56"/>
      <c r="R154" s="56"/>
      <c r="S154" s="56"/>
      <c r="T154" s="56"/>
      <c r="U154" s="56"/>
    </row>
    <row r="155" customFormat="false" ht="30" hidden="false" customHeight="true" outlineLevel="0" collapsed="false">
      <c r="B155" s="56"/>
      <c r="C155" s="58" t="s">
        <v>208</v>
      </c>
      <c r="D155" s="58"/>
      <c r="E155" s="58"/>
      <c r="F155" s="58"/>
      <c r="G155" s="58"/>
      <c r="H155" s="58"/>
      <c r="I155" s="58"/>
      <c r="J155" s="58"/>
      <c r="K155" s="58"/>
      <c r="L155" s="58"/>
      <c r="M155" s="58"/>
      <c r="N155" s="58"/>
      <c r="O155" s="58"/>
      <c r="P155" s="58"/>
      <c r="Q155" s="58"/>
      <c r="R155" s="58"/>
      <c r="S155" s="58"/>
      <c r="T155" s="58"/>
      <c r="U155" s="56"/>
    </row>
    <row r="156" customFormat="false" ht="20.1" hidden="false" customHeight="true" outlineLevel="0" collapsed="false">
      <c r="B156" s="56"/>
      <c r="U156" s="56"/>
    </row>
    <row r="157" customFormat="false" ht="20.1" hidden="false" customHeight="true" outlineLevel="0" collapsed="false">
      <c r="B157" s="56"/>
      <c r="D157" s="59" t="s">
        <v>48</v>
      </c>
      <c r="E157" s="60" t="s">
        <v>209</v>
      </c>
      <c r="F157" s="61" t="s">
        <v>10</v>
      </c>
      <c r="G157" s="62" t="s">
        <v>50</v>
      </c>
      <c r="H157" s="62"/>
      <c r="I157" s="62"/>
      <c r="J157" s="62"/>
      <c r="K157" s="60" t="s">
        <v>51</v>
      </c>
      <c r="L157" s="62" t="s">
        <v>52</v>
      </c>
      <c r="M157" s="62"/>
      <c r="N157" s="62"/>
      <c r="O157" s="62"/>
      <c r="P157" s="62"/>
      <c r="Q157" s="62"/>
      <c r="R157" s="62"/>
      <c r="S157" s="62"/>
      <c r="U157" s="56"/>
    </row>
    <row r="158" customFormat="false" ht="20.1" hidden="false" customHeight="true" outlineLevel="0" collapsed="false">
      <c r="B158" s="56"/>
      <c r="D158" s="59"/>
      <c r="E158" s="60"/>
      <c r="F158" s="60"/>
      <c r="G158" s="66" t="s">
        <v>53</v>
      </c>
      <c r="H158" s="65" t="s">
        <v>54</v>
      </c>
      <c r="I158" s="61" t="s">
        <v>55</v>
      </c>
      <c r="J158" s="61"/>
      <c r="K158" s="65" t="s">
        <v>56</v>
      </c>
      <c r="L158" s="217" t="s">
        <v>53</v>
      </c>
      <c r="M158" s="218" t="s">
        <v>57</v>
      </c>
      <c r="N158" s="61" t="s">
        <v>55</v>
      </c>
      <c r="O158" s="61"/>
      <c r="P158" s="61"/>
      <c r="Q158" s="61"/>
      <c r="R158" s="61"/>
      <c r="S158" s="61"/>
      <c r="U158" s="56"/>
    </row>
    <row r="159" customFormat="false" ht="15" hidden="false" customHeight="true" outlineLevel="0" collapsed="false">
      <c r="B159" s="56"/>
      <c r="D159" s="67" t="s">
        <v>24</v>
      </c>
      <c r="E159" s="332" t="s">
        <v>25</v>
      </c>
      <c r="F159" s="20" t="n">
        <v>1</v>
      </c>
      <c r="G159" s="68" t="s">
        <v>58</v>
      </c>
      <c r="H159" s="293" t="s">
        <v>210</v>
      </c>
      <c r="I159" s="70" t="s">
        <v>211</v>
      </c>
      <c r="J159" s="70"/>
      <c r="K159" s="219" t="s">
        <v>113</v>
      </c>
      <c r="L159" s="72" t="s">
        <v>62</v>
      </c>
      <c r="M159" s="73" t="s">
        <v>62</v>
      </c>
      <c r="N159" s="74" t="s">
        <v>62</v>
      </c>
      <c r="O159" s="74"/>
      <c r="P159" s="74"/>
      <c r="Q159" s="74"/>
      <c r="R159" s="74"/>
      <c r="S159" s="74"/>
      <c r="U159" s="56"/>
    </row>
    <row r="160" customFormat="false" ht="15" hidden="false" customHeight="true" outlineLevel="0" collapsed="false">
      <c r="B160" s="56"/>
      <c r="D160" s="67"/>
      <c r="E160" s="332"/>
      <c r="F160" s="20"/>
      <c r="G160" s="68"/>
      <c r="H160" s="293"/>
      <c r="I160" s="75" t="s">
        <v>212</v>
      </c>
      <c r="J160" s="75"/>
      <c r="K160" s="219"/>
      <c r="L160" s="72"/>
      <c r="M160" s="73"/>
      <c r="N160" s="74"/>
      <c r="O160" s="74"/>
      <c r="P160" s="74"/>
      <c r="Q160" s="74"/>
      <c r="R160" s="74"/>
      <c r="S160" s="74"/>
      <c r="U160" s="56"/>
    </row>
    <row r="161" customFormat="false" ht="27.95" hidden="false" customHeight="true" outlineLevel="0" collapsed="false">
      <c r="B161" s="56"/>
      <c r="D161" s="77" t="s">
        <v>35</v>
      </c>
      <c r="E161" s="32" t="s">
        <v>36</v>
      </c>
      <c r="F161" s="26" t="n">
        <v>2</v>
      </c>
      <c r="G161" s="78" t="s">
        <v>110</v>
      </c>
      <c r="H161" s="79" t="s">
        <v>111</v>
      </c>
      <c r="I161" s="80" t="s">
        <v>112</v>
      </c>
      <c r="J161" s="80"/>
      <c r="K161" s="300" t="s">
        <v>113</v>
      </c>
      <c r="L161" s="296" t="s">
        <v>62</v>
      </c>
      <c r="M161" s="297" t="s">
        <v>62</v>
      </c>
      <c r="N161" s="298" t="s">
        <v>62</v>
      </c>
      <c r="O161" s="298"/>
      <c r="P161" s="298"/>
      <c r="Q161" s="298"/>
      <c r="R161" s="298"/>
      <c r="S161" s="298"/>
      <c r="U161" s="56"/>
    </row>
    <row r="162" customFormat="false" ht="15" hidden="false" customHeight="true" outlineLevel="0" collapsed="false">
      <c r="B162" s="56"/>
      <c r="D162" s="77"/>
      <c r="E162" s="32"/>
      <c r="F162" s="26"/>
      <c r="G162" s="78"/>
      <c r="H162" s="79"/>
      <c r="I162" s="85" t="s">
        <v>114</v>
      </c>
      <c r="J162" s="85"/>
      <c r="K162" s="300"/>
      <c r="L162" s="296"/>
      <c r="M162" s="297"/>
      <c r="N162" s="298"/>
      <c r="O162" s="298"/>
      <c r="P162" s="298"/>
      <c r="Q162" s="298"/>
      <c r="R162" s="298"/>
      <c r="S162" s="298"/>
      <c r="U162" s="56"/>
    </row>
    <row r="163" customFormat="false" ht="15" hidden="false" customHeight="true" outlineLevel="0" collapsed="false">
      <c r="B163" s="56"/>
      <c r="D163" s="77"/>
      <c r="E163" s="32"/>
      <c r="F163" s="26"/>
      <c r="G163" s="78"/>
      <c r="H163" s="79"/>
      <c r="I163" s="85" t="s">
        <v>115</v>
      </c>
      <c r="J163" s="85"/>
      <c r="K163" s="300"/>
      <c r="L163" s="296"/>
      <c r="M163" s="297"/>
      <c r="N163" s="298"/>
      <c r="O163" s="298"/>
      <c r="P163" s="298"/>
      <c r="Q163" s="298"/>
      <c r="R163" s="298"/>
      <c r="S163" s="298"/>
      <c r="U163" s="56"/>
    </row>
    <row r="164" customFormat="false" ht="15" hidden="false" customHeight="true" outlineLevel="0" collapsed="false">
      <c r="B164" s="56"/>
      <c r="D164" s="77"/>
      <c r="E164" s="32"/>
      <c r="F164" s="26"/>
      <c r="G164" s="78"/>
      <c r="H164" s="79"/>
      <c r="I164" s="86" t="s">
        <v>172</v>
      </c>
      <c r="J164" s="86"/>
      <c r="K164" s="300"/>
      <c r="L164" s="296"/>
      <c r="M164" s="297"/>
      <c r="N164" s="298"/>
      <c r="O164" s="298"/>
      <c r="P164" s="298"/>
      <c r="Q164" s="298"/>
      <c r="R164" s="298"/>
      <c r="S164" s="298"/>
      <c r="U164" s="56"/>
    </row>
    <row r="165" customFormat="false" ht="20.1" hidden="false" customHeight="true" outlineLevel="0" collapsed="false">
      <c r="B165" s="56"/>
      <c r="D165" s="97" t="s">
        <v>33</v>
      </c>
      <c r="E165" s="333" t="s">
        <v>34</v>
      </c>
      <c r="F165" s="44" t="n">
        <v>3</v>
      </c>
      <c r="G165" s="334" t="s">
        <v>58</v>
      </c>
      <c r="H165" s="335" t="s">
        <v>213</v>
      </c>
      <c r="I165" s="336" t="s">
        <v>62</v>
      </c>
      <c r="J165" s="336"/>
      <c r="K165" s="337" t="s">
        <v>210</v>
      </c>
      <c r="L165" s="338" t="s">
        <v>62</v>
      </c>
      <c r="M165" s="339" t="s">
        <v>62</v>
      </c>
      <c r="N165" s="242" t="s">
        <v>62</v>
      </c>
      <c r="O165" s="242"/>
      <c r="P165" s="242"/>
      <c r="Q165" s="242"/>
      <c r="R165" s="242"/>
      <c r="S165" s="242"/>
      <c r="U165" s="56"/>
    </row>
    <row r="166" customFormat="false" ht="20.1" hidden="false" customHeight="true" outlineLevel="0" collapsed="false">
      <c r="B166" s="56"/>
      <c r="U166" s="56"/>
    </row>
    <row r="167" customFormat="false" ht="20.1" hidden="false" customHeight="true" outlineLevel="0" collapsed="false">
      <c r="B167" s="56"/>
      <c r="C167" s="106"/>
      <c r="D167" s="106"/>
      <c r="E167" s="107" t="str">
        <f aca="false">IF(OR(L159="-",L159= ""),H159,L159)</f>
        <v>Viticulture</v>
      </c>
      <c r="F167" s="107"/>
      <c r="G167" s="107"/>
      <c r="H167" s="107"/>
      <c r="I167" s="107"/>
      <c r="J167" s="107"/>
      <c r="K167" s="107"/>
      <c r="L167" s="107"/>
      <c r="M167" s="107"/>
      <c r="N167" s="107"/>
      <c r="O167" s="108"/>
      <c r="P167" s="108"/>
      <c r="Q167" s="108"/>
      <c r="R167" s="108"/>
      <c r="S167" s="108"/>
      <c r="T167" s="106"/>
      <c r="U167" s="56"/>
    </row>
    <row r="168" customFormat="false" ht="50.1" hidden="false" customHeight="true" outlineLevel="0" collapsed="false">
      <c r="B168" s="56"/>
      <c r="C168" s="106"/>
      <c r="D168" s="108"/>
      <c r="E168" s="59" t="s">
        <v>48</v>
      </c>
      <c r="F168" s="109" t="s">
        <v>80</v>
      </c>
      <c r="G168" s="61" t="s">
        <v>81</v>
      </c>
      <c r="H168" s="60" t="s">
        <v>82</v>
      </c>
      <c r="I168" s="6" t="s">
        <v>83</v>
      </c>
      <c r="J168" s="60" t="s">
        <v>84</v>
      </c>
      <c r="K168" s="110" t="s">
        <v>85</v>
      </c>
      <c r="L168" s="60" t="s">
        <v>86</v>
      </c>
      <c r="M168" s="111" t="s">
        <v>87</v>
      </c>
      <c r="N168" s="61" t="s">
        <v>88</v>
      </c>
      <c r="O168" s="112" t="s">
        <v>89</v>
      </c>
      <c r="P168" s="113" t="s">
        <v>90</v>
      </c>
      <c r="Q168" s="113" t="s">
        <v>91</v>
      </c>
      <c r="R168" s="108"/>
      <c r="S168" s="108"/>
      <c r="T168" s="106"/>
      <c r="U168" s="56"/>
    </row>
    <row r="169" customFormat="false" ht="27.95" hidden="false" customHeight="true" outlineLevel="0" collapsed="false">
      <c r="B169" s="56"/>
      <c r="C169" s="106"/>
      <c r="D169" s="131"/>
      <c r="E169" s="243" t="s">
        <v>24</v>
      </c>
      <c r="F169" s="244" t="s">
        <v>25</v>
      </c>
      <c r="G169" s="245" t="n">
        <v>3</v>
      </c>
      <c r="H169" s="328" t="s">
        <v>214</v>
      </c>
      <c r="I169" s="328" t="n">
        <v>0</v>
      </c>
      <c r="J169" s="245" t="n">
        <v>27</v>
      </c>
      <c r="K169" s="245" t="s">
        <v>62</v>
      </c>
      <c r="L169" s="246" t="n">
        <f aca="false">IF(J169="",0,(J169/J172)*100)</f>
        <v>100</v>
      </c>
      <c r="M169" s="245" t="n">
        <v>1</v>
      </c>
      <c r="N169" s="247" t="n">
        <v>6</v>
      </c>
      <c r="O169" s="116" t="n">
        <f aca="false">IF(M169=1,1,0)</f>
        <v>1</v>
      </c>
      <c r="P169" s="117" t="n">
        <f aca="false">IF(M169=2,1,0)</f>
        <v>0</v>
      </c>
      <c r="Q169" s="118" t="n">
        <f aca="false">IF(M169=3,1,0)</f>
        <v>0</v>
      </c>
      <c r="R169" s="119"/>
      <c r="S169" s="119"/>
      <c r="T169" s="106"/>
      <c r="U169" s="56"/>
    </row>
    <row r="170" customFormat="false" ht="27.95" hidden="false" customHeight="true" outlineLevel="0" collapsed="false">
      <c r="B170" s="56"/>
      <c r="C170" s="106"/>
      <c r="D170" s="106"/>
      <c r="E170" s="77" t="s">
        <v>35</v>
      </c>
      <c r="F170" s="29" t="s">
        <v>36</v>
      </c>
      <c r="G170" s="248" t="n">
        <v>1</v>
      </c>
      <c r="H170" s="249" t="s">
        <v>215</v>
      </c>
      <c r="I170" s="249" t="n">
        <v>0</v>
      </c>
      <c r="J170" s="248" t="n">
        <v>24</v>
      </c>
      <c r="K170" s="249" t="s">
        <v>62</v>
      </c>
      <c r="L170" s="250" t="n">
        <f aca="false">IF(J170="",0,(J170/J172)*100)</f>
        <v>88.8888888888889</v>
      </c>
      <c r="M170" s="248" t="n">
        <v>2</v>
      </c>
      <c r="N170" s="251" t="n">
        <v>3</v>
      </c>
      <c r="O170" s="123" t="n">
        <f aca="false">IF(M170=1,1,0)</f>
        <v>0</v>
      </c>
      <c r="P170" s="124" t="n">
        <f aca="false">IF(M170=2,1,0)</f>
        <v>1</v>
      </c>
      <c r="Q170" s="125" t="n">
        <f aca="false">IF(M170=3,1,0)</f>
        <v>0</v>
      </c>
      <c r="R170" s="119"/>
      <c r="S170" s="119"/>
      <c r="T170" s="106"/>
      <c r="U170" s="56"/>
    </row>
    <row r="171" customFormat="false" ht="27.95" hidden="false" customHeight="true" outlineLevel="0" collapsed="false">
      <c r="B171" s="56"/>
      <c r="C171" s="106"/>
      <c r="D171" s="106"/>
      <c r="E171" s="236" t="s">
        <v>33</v>
      </c>
      <c r="F171" s="39" t="s">
        <v>34</v>
      </c>
      <c r="G171" s="253" t="n">
        <v>2</v>
      </c>
      <c r="H171" s="254" t="s">
        <v>216</v>
      </c>
      <c r="I171" s="254" t="n">
        <v>0</v>
      </c>
      <c r="J171" s="253" t="n">
        <v>7</v>
      </c>
      <c r="K171" s="253" t="s">
        <v>62</v>
      </c>
      <c r="L171" s="255" t="n">
        <f aca="false">IF(J171="",0,(J171/J172)*100)</f>
        <v>25.9259259259259</v>
      </c>
      <c r="M171" s="253" t="n">
        <v>3</v>
      </c>
      <c r="N171" s="256" t="n">
        <v>0</v>
      </c>
      <c r="O171" s="135" t="n">
        <f aca="false">IF(M171=1,1,0)</f>
        <v>0</v>
      </c>
      <c r="P171" s="136" t="n">
        <f aca="false">IF(M171=2,1,0)</f>
        <v>0</v>
      </c>
      <c r="Q171" s="137" t="n">
        <f aca="false">IF(M171=3,1,0)</f>
        <v>1</v>
      </c>
      <c r="R171" s="119"/>
      <c r="S171" s="119"/>
      <c r="T171" s="106"/>
      <c r="U171" s="56"/>
    </row>
    <row r="172" customFormat="false" ht="20.1" hidden="true" customHeight="true" outlineLevel="1" collapsed="false">
      <c r="B172" s="56"/>
      <c r="C172" s="106"/>
      <c r="D172" s="131"/>
      <c r="E172" s="131"/>
      <c r="F172" s="139"/>
      <c r="G172" s="139"/>
      <c r="H172" s="106"/>
      <c r="I172" s="170" t="s">
        <v>94</v>
      </c>
      <c r="J172" s="141" t="n">
        <f aca="false">MAX(J169:J171)</f>
        <v>27</v>
      </c>
      <c r="K172" s="257"/>
      <c r="L172" s="147"/>
      <c r="M172" s="106"/>
      <c r="N172" s="144" t="s">
        <v>95</v>
      </c>
      <c r="O172" s="145" t="n">
        <f aca="false">SUM(O169:O171)</f>
        <v>1</v>
      </c>
      <c r="P172" s="146" t="n">
        <f aca="false">SUM(P169:P171)</f>
        <v>1</v>
      </c>
      <c r="Q172" s="145" t="n">
        <f aca="false">SUM(Q169:Q171)</f>
        <v>1</v>
      </c>
      <c r="R172" s="158" t="n">
        <f aca="false">SUM(R169:R171)</f>
        <v>0</v>
      </c>
      <c r="S172" s="147"/>
      <c r="T172" s="106"/>
      <c r="U172" s="56"/>
    </row>
    <row r="173" customFormat="false" ht="20.1" hidden="false" customHeight="true" outlineLevel="0" collapsed="false">
      <c r="B173" s="56"/>
      <c r="C173" s="106"/>
      <c r="D173" s="106"/>
      <c r="E173" s="106"/>
      <c r="F173" s="106"/>
      <c r="G173" s="106"/>
      <c r="H173" s="106"/>
      <c r="I173" s="106"/>
      <c r="J173" s="106"/>
      <c r="K173" s="106"/>
      <c r="L173" s="106"/>
      <c r="M173" s="106"/>
      <c r="N173" s="106"/>
      <c r="O173" s="106"/>
      <c r="P173" s="106"/>
      <c r="Q173" s="106"/>
      <c r="R173" s="106"/>
      <c r="S173" s="106"/>
      <c r="T173" s="106"/>
      <c r="U173" s="56"/>
    </row>
    <row r="174" customFormat="false" ht="20.1" hidden="false" customHeight="true" outlineLevel="0" collapsed="false">
      <c r="B174" s="56"/>
      <c r="U174" s="56"/>
    </row>
    <row r="175" customFormat="false" ht="20.1" hidden="false" customHeight="true" outlineLevel="0" collapsed="false">
      <c r="B175" s="56"/>
      <c r="C175" s="149"/>
      <c r="D175" s="149"/>
      <c r="E175" s="150" t="str">
        <f aca="false">IF(OR(L161="-",L161= ""),H161,L161)</f>
        <v>Orakel von Delphi</v>
      </c>
      <c r="F175" s="150"/>
      <c r="G175" s="150"/>
      <c r="H175" s="150"/>
      <c r="I175" s="150"/>
      <c r="J175" s="150"/>
      <c r="K175" s="150"/>
      <c r="L175" s="150"/>
      <c r="M175" s="150"/>
      <c r="N175" s="150"/>
      <c r="O175" s="151"/>
      <c r="P175" s="151"/>
      <c r="Q175" s="151"/>
      <c r="R175" s="151"/>
      <c r="S175" s="151"/>
      <c r="T175" s="149"/>
      <c r="U175" s="56"/>
    </row>
    <row r="176" customFormat="false" ht="50.1" hidden="false" customHeight="true" outlineLevel="0" collapsed="false">
      <c r="B176" s="56"/>
      <c r="C176" s="149"/>
      <c r="D176" s="151"/>
      <c r="E176" s="59" t="s">
        <v>48</v>
      </c>
      <c r="F176" s="109" t="s">
        <v>80</v>
      </c>
      <c r="G176" s="61" t="s">
        <v>81</v>
      </c>
      <c r="H176" s="60" t="s">
        <v>82</v>
      </c>
      <c r="I176" s="6" t="s">
        <v>83</v>
      </c>
      <c r="J176" s="60" t="s">
        <v>84</v>
      </c>
      <c r="K176" s="110" t="s">
        <v>85</v>
      </c>
      <c r="L176" s="60" t="s">
        <v>86</v>
      </c>
      <c r="M176" s="111" t="s">
        <v>87</v>
      </c>
      <c r="N176" s="61" t="s">
        <v>88</v>
      </c>
      <c r="O176" s="112" t="s">
        <v>89</v>
      </c>
      <c r="P176" s="113" t="s">
        <v>90</v>
      </c>
      <c r="Q176" s="113" t="s">
        <v>91</v>
      </c>
      <c r="R176" s="151"/>
      <c r="S176" s="151"/>
      <c r="T176" s="149"/>
      <c r="U176" s="56"/>
    </row>
    <row r="177" customFormat="false" ht="30" hidden="false" customHeight="true" outlineLevel="0" collapsed="false">
      <c r="B177" s="56"/>
      <c r="C177" s="149"/>
      <c r="D177" s="153"/>
      <c r="E177" s="67" t="s">
        <v>24</v>
      </c>
      <c r="F177" s="14" t="s">
        <v>25</v>
      </c>
      <c r="G177" s="258" t="n">
        <v>3</v>
      </c>
      <c r="H177" s="258" t="s">
        <v>131</v>
      </c>
      <c r="I177" s="258" t="s">
        <v>62</v>
      </c>
      <c r="J177" s="304" t="s">
        <v>217</v>
      </c>
      <c r="K177" s="258" t="s">
        <v>62</v>
      </c>
      <c r="L177" s="259" t="n">
        <f aca="false">100-(2.5/12)*100</f>
        <v>79.1666666666667</v>
      </c>
      <c r="M177" s="258" t="n">
        <v>3</v>
      </c>
      <c r="N177" s="260" t="n">
        <v>0</v>
      </c>
      <c r="O177" s="116" t="n">
        <f aca="false">IF(M177=1,1,0)</f>
        <v>0</v>
      </c>
      <c r="P177" s="117" t="n">
        <f aca="false">IF(M177=2,1,0)</f>
        <v>0</v>
      </c>
      <c r="Q177" s="118" t="n">
        <f aca="false">IF(M177=3,1,0)</f>
        <v>1</v>
      </c>
      <c r="R177" s="152"/>
      <c r="S177" s="152"/>
      <c r="T177" s="149"/>
      <c r="U177" s="56"/>
    </row>
    <row r="178" customFormat="false" ht="45" hidden="false" customHeight="true" outlineLevel="0" collapsed="false">
      <c r="B178" s="56"/>
      <c r="C178" s="149"/>
      <c r="D178" s="149"/>
      <c r="E178" s="77" t="s">
        <v>35</v>
      </c>
      <c r="F178" s="29" t="s">
        <v>36</v>
      </c>
      <c r="G178" s="248" t="n">
        <v>1</v>
      </c>
      <c r="H178" s="248" t="s">
        <v>218</v>
      </c>
      <c r="I178" s="248" t="s">
        <v>62</v>
      </c>
      <c r="J178" s="249" t="s">
        <v>181</v>
      </c>
      <c r="K178" s="249" t="s">
        <v>182</v>
      </c>
      <c r="L178" s="250" t="n">
        <v>100</v>
      </c>
      <c r="M178" s="248" t="n">
        <v>2</v>
      </c>
      <c r="N178" s="251" t="n">
        <v>3</v>
      </c>
      <c r="O178" s="123" t="n">
        <f aca="false">IF(M178=1,1,0)</f>
        <v>0</v>
      </c>
      <c r="P178" s="124" t="n">
        <f aca="false">IF(M178=2,1,0)</f>
        <v>1</v>
      </c>
      <c r="Q178" s="125" t="n">
        <f aca="false">IF(M178=3,1,0)</f>
        <v>0</v>
      </c>
      <c r="R178" s="152"/>
      <c r="S178" s="152"/>
      <c r="T178" s="149"/>
      <c r="U178" s="56"/>
    </row>
    <row r="179" customFormat="false" ht="45" hidden="false" customHeight="true" outlineLevel="0" collapsed="false">
      <c r="B179" s="56"/>
      <c r="C179" s="149"/>
      <c r="D179" s="153"/>
      <c r="E179" s="340" t="s">
        <v>33</v>
      </c>
      <c r="F179" s="262" t="s">
        <v>34</v>
      </c>
      <c r="G179" s="263" t="n">
        <v>2</v>
      </c>
      <c r="H179" s="263" t="s">
        <v>129</v>
      </c>
      <c r="I179" s="263" t="s">
        <v>62</v>
      </c>
      <c r="J179" s="264" t="s">
        <v>181</v>
      </c>
      <c r="K179" s="263" t="s">
        <v>219</v>
      </c>
      <c r="L179" s="265" t="n">
        <v>100</v>
      </c>
      <c r="M179" s="263" t="n">
        <v>1</v>
      </c>
      <c r="N179" s="266" t="n">
        <v>6</v>
      </c>
      <c r="O179" s="135" t="n">
        <f aca="false">IF(M179=1,1,0)</f>
        <v>1</v>
      </c>
      <c r="P179" s="136" t="n">
        <f aca="false">IF(M179=2,1,0)</f>
        <v>0</v>
      </c>
      <c r="Q179" s="137" t="n">
        <f aca="false">IF(M179=3,1,0)</f>
        <v>0</v>
      </c>
      <c r="R179" s="152"/>
      <c r="S179" s="152"/>
      <c r="T179" s="149"/>
      <c r="U179" s="56"/>
    </row>
    <row r="180" customFormat="false" ht="20.1" hidden="true" customHeight="true" outlineLevel="1" collapsed="false">
      <c r="B180" s="56"/>
      <c r="C180" s="149"/>
      <c r="D180" s="149"/>
      <c r="E180" s="149"/>
      <c r="F180" s="155"/>
      <c r="G180" s="155"/>
      <c r="H180" s="149"/>
      <c r="I180" s="170" t="s">
        <v>94</v>
      </c>
      <c r="J180" s="141" t="n">
        <f aca="false">MAX(J177:J179)</f>
        <v>0</v>
      </c>
      <c r="K180" s="157"/>
      <c r="L180" s="152"/>
      <c r="M180" s="149"/>
      <c r="N180" s="144" t="s">
        <v>95</v>
      </c>
      <c r="O180" s="145" t="n">
        <f aca="false">SUM(O177:O179)</f>
        <v>1</v>
      </c>
      <c r="P180" s="146" t="n">
        <f aca="false">SUM(P177:P179)</f>
        <v>1</v>
      </c>
      <c r="Q180" s="145" t="n">
        <f aca="false">SUM(Q177:Q179)</f>
        <v>1</v>
      </c>
      <c r="R180" s="158" t="n">
        <f aca="false">SUM(R177:R179)</f>
        <v>0</v>
      </c>
      <c r="S180" s="159"/>
      <c r="T180" s="149"/>
      <c r="U180" s="56"/>
    </row>
    <row r="181" customFormat="false" ht="20.1" hidden="false" customHeight="true" outlineLevel="0" collapsed="false">
      <c r="B181" s="56"/>
      <c r="C181" s="149"/>
      <c r="D181" s="149"/>
      <c r="E181" s="149"/>
      <c r="F181" s="149"/>
      <c r="G181" s="149"/>
      <c r="H181" s="149"/>
      <c r="I181" s="149"/>
      <c r="J181" s="149"/>
      <c r="K181" s="149"/>
      <c r="L181" s="149"/>
      <c r="M181" s="149"/>
      <c r="N181" s="149"/>
      <c r="O181" s="149"/>
      <c r="P181" s="149"/>
      <c r="Q181" s="149"/>
      <c r="R181" s="149"/>
      <c r="S181" s="149"/>
      <c r="T181" s="149"/>
      <c r="U181" s="56"/>
    </row>
    <row r="182" customFormat="false" ht="20.1" hidden="false" customHeight="true" outlineLevel="0" collapsed="false">
      <c r="B182" s="56"/>
      <c r="D182" s="45"/>
      <c r="E182" s="45"/>
      <c r="F182" s="45"/>
      <c r="G182" s="45"/>
      <c r="H182" s="160"/>
      <c r="I182" s="45"/>
      <c r="J182" s="45"/>
      <c r="U182" s="56"/>
    </row>
    <row r="183" customFormat="false" ht="20.1" hidden="false" customHeight="true" outlineLevel="0" collapsed="false">
      <c r="B183" s="56"/>
      <c r="C183" s="161"/>
      <c r="D183" s="161"/>
      <c r="E183" s="162" t="str">
        <f aca="false">IF(OR(L165="-",L165= ""),H165,L165)</f>
        <v>Roll for the Galaxy</v>
      </c>
      <c r="F183" s="162"/>
      <c r="G183" s="162"/>
      <c r="H183" s="162"/>
      <c r="I183" s="162"/>
      <c r="J183" s="162"/>
      <c r="K183" s="162"/>
      <c r="L183" s="162"/>
      <c r="M183" s="162"/>
      <c r="N183" s="162"/>
      <c r="O183" s="163"/>
      <c r="P183" s="163"/>
      <c r="Q183" s="163"/>
      <c r="R183" s="163"/>
      <c r="S183" s="163"/>
      <c r="T183" s="161"/>
      <c r="U183" s="164"/>
    </row>
    <row r="184" customFormat="false" ht="50.1" hidden="false" customHeight="true" outlineLevel="0" collapsed="false">
      <c r="B184" s="56"/>
      <c r="C184" s="161"/>
      <c r="D184" s="163"/>
      <c r="E184" s="59" t="s">
        <v>48</v>
      </c>
      <c r="F184" s="109" t="s">
        <v>80</v>
      </c>
      <c r="G184" s="61" t="s">
        <v>81</v>
      </c>
      <c r="H184" s="60" t="s">
        <v>82</v>
      </c>
      <c r="I184" s="6" t="s">
        <v>83</v>
      </c>
      <c r="J184" s="60" t="s">
        <v>84</v>
      </c>
      <c r="K184" s="110" t="s">
        <v>85</v>
      </c>
      <c r="L184" s="60" t="s">
        <v>86</v>
      </c>
      <c r="M184" s="111" t="s">
        <v>87</v>
      </c>
      <c r="N184" s="61" t="s">
        <v>88</v>
      </c>
      <c r="O184" s="112" t="s">
        <v>89</v>
      </c>
      <c r="P184" s="113" t="s">
        <v>90</v>
      </c>
      <c r="Q184" s="113" t="s">
        <v>91</v>
      </c>
      <c r="R184" s="163"/>
      <c r="S184" s="163"/>
      <c r="T184" s="161"/>
      <c r="U184" s="164"/>
    </row>
    <row r="185" customFormat="false" ht="20.1" hidden="false" customHeight="true" outlineLevel="0" collapsed="false">
      <c r="B185" s="56"/>
      <c r="C185" s="161"/>
      <c r="D185" s="167"/>
      <c r="E185" s="67" t="s">
        <v>24</v>
      </c>
      <c r="F185" s="14" t="s">
        <v>25</v>
      </c>
      <c r="G185" s="258" t="s">
        <v>62</v>
      </c>
      <c r="H185" s="258" t="s">
        <v>220</v>
      </c>
      <c r="I185" s="258" t="n">
        <v>8</v>
      </c>
      <c r="J185" s="258" t="n">
        <v>30</v>
      </c>
      <c r="K185" s="258" t="s">
        <v>62</v>
      </c>
      <c r="L185" s="259" t="n">
        <f aca="false">IF(J185="",0,(J185/J188)*100)</f>
        <v>68.1818181818182</v>
      </c>
      <c r="M185" s="258" t="n">
        <v>3</v>
      </c>
      <c r="N185" s="260" t="n">
        <v>0</v>
      </c>
      <c r="O185" s="117" t="n">
        <f aca="false">IF(M185=1,1,0)</f>
        <v>0</v>
      </c>
      <c r="P185" s="117" t="n">
        <f aca="false">IF(M185=2,1,0)</f>
        <v>0</v>
      </c>
      <c r="Q185" s="118" t="n">
        <f aca="false">IF(M185=3,1,0)</f>
        <v>1</v>
      </c>
      <c r="R185" s="166"/>
      <c r="S185" s="166"/>
      <c r="T185" s="161"/>
      <c r="U185" s="56"/>
    </row>
    <row r="186" customFormat="false" ht="20.1" hidden="false" customHeight="true" outlineLevel="0" collapsed="false">
      <c r="B186" s="56"/>
      <c r="C186" s="161"/>
      <c r="D186" s="161"/>
      <c r="E186" s="77" t="s">
        <v>35</v>
      </c>
      <c r="F186" s="29" t="s">
        <v>36</v>
      </c>
      <c r="G186" s="248" t="s">
        <v>62</v>
      </c>
      <c r="H186" s="248" t="s">
        <v>221</v>
      </c>
      <c r="I186" s="248" t="n">
        <v>5</v>
      </c>
      <c r="J186" s="248" t="n">
        <v>42</v>
      </c>
      <c r="K186" s="249" t="s">
        <v>62</v>
      </c>
      <c r="L186" s="250" t="n">
        <f aca="false">IF(J186="",0,(J186/J188)*100)</f>
        <v>95.4545454545455</v>
      </c>
      <c r="M186" s="248" t="n">
        <v>2</v>
      </c>
      <c r="N186" s="251" t="n">
        <v>3</v>
      </c>
      <c r="O186" s="124" t="n">
        <f aca="false">IF(M186=1,1,0)</f>
        <v>0</v>
      </c>
      <c r="P186" s="124" t="n">
        <f aca="false">IF(M186=2,1,0)</f>
        <v>1</v>
      </c>
      <c r="Q186" s="125" t="n">
        <f aca="false">IF(M186=3,1,0)</f>
        <v>0</v>
      </c>
      <c r="R186" s="166"/>
      <c r="S186" s="166"/>
      <c r="T186" s="161"/>
      <c r="U186" s="168"/>
    </row>
    <row r="187" customFormat="false" ht="20.1" hidden="false" customHeight="true" outlineLevel="0" collapsed="false">
      <c r="B187" s="56"/>
      <c r="C187" s="161"/>
      <c r="D187" s="161"/>
      <c r="E187" s="340" t="s">
        <v>33</v>
      </c>
      <c r="F187" s="262" t="s">
        <v>34</v>
      </c>
      <c r="G187" s="263" t="s">
        <v>62</v>
      </c>
      <c r="H187" s="263" t="s">
        <v>222</v>
      </c>
      <c r="I187" s="263" t="n">
        <v>4</v>
      </c>
      <c r="J187" s="263" t="n">
        <v>44</v>
      </c>
      <c r="K187" s="263" t="s">
        <v>62</v>
      </c>
      <c r="L187" s="265" t="n">
        <f aca="false">IF(J187="",0,(J187/J188)*100)</f>
        <v>100</v>
      </c>
      <c r="M187" s="263" t="n">
        <v>1</v>
      </c>
      <c r="N187" s="266" t="n">
        <v>6</v>
      </c>
      <c r="O187" s="136" t="n">
        <f aca="false">IF(M187=1,1,0)</f>
        <v>1</v>
      </c>
      <c r="P187" s="136" t="n">
        <f aca="false">IF(M187=2,1,0)</f>
        <v>0</v>
      </c>
      <c r="Q187" s="137" t="n">
        <f aca="false">IF(M187=3,1,0)</f>
        <v>0</v>
      </c>
      <c r="R187" s="166"/>
      <c r="S187" s="166"/>
      <c r="T187" s="161"/>
      <c r="U187" s="168"/>
    </row>
    <row r="188" customFormat="false" ht="20.1" hidden="true" customHeight="true" outlineLevel="1" collapsed="false">
      <c r="B188" s="56"/>
      <c r="C188" s="161"/>
      <c r="D188" s="161"/>
      <c r="E188" s="161"/>
      <c r="F188" s="169"/>
      <c r="G188" s="169"/>
      <c r="H188" s="161"/>
      <c r="I188" s="170" t="s">
        <v>94</v>
      </c>
      <c r="J188" s="141" t="n">
        <f aca="false">MAX(J185:J187)</f>
        <v>44</v>
      </c>
      <c r="K188" s="171"/>
      <c r="L188" s="166"/>
      <c r="M188" s="161"/>
      <c r="N188" s="144" t="s">
        <v>95</v>
      </c>
      <c r="O188" s="145" t="n">
        <f aca="false">SUM(O185:O187)</f>
        <v>1</v>
      </c>
      <c r="P188" s="146" t="n">
        <f aca="false">SUM(P185:P187)</f>
        <v>1</v>
      </c>
      <c r="Q188" s="145" t="n">
        <f aca="false">SUM(Q185:Q187)</f>
        <v>1</v>
      </c>
      <c r="R188" s="158" t="n">
        <f aca="false">SUM(R185:R187)</f>
        <v>0</v>
      </c>
      <c r="S188" s="172"/>
      <c r="T188" s="161"/>
      <c r="U188" s="168"/>
    </row>
    <row r="189" customFormat="false" ht="20.1" hidden="false" customHeight="true" outlineLevel="0" collapsed="false">
      <c r="B189" s="56"/>
      <c r="C189" s="161"/>
      <c r="D189" s="161"/>
      <c r="E189" s="161"/>
      <c r="F189" s="161"/>
      <c r="G189" s="161"/>
      <c r="H189" s="161"/>
      <c r="I189" s="161"/>
      <c r="J189" s="161"/>
      <c r="K189" s="161"/>
      <c r="L189" s="161"/>
      <c r="M189" s="161"/>
      <c r="N189" s="161"/>
      <c r="O189" s="161"/>
      <c r="P189" s="161"/>
      <c r="Q189" s="161"/>
      <c r="R189" s="161"/>
      <c r="S189" s="161"/>
      <c r="T189" s="161"/>
      <c r="U189" s="168"/>
    </row>
    <row r="190" customFormat="false" ht="20.1" hidden="false" customHeight="true" outlineLevel="0" collapsed="false">
      <c r="B190" s="56"/>
      <c r="D190" s="45"/>
      <c r="E190" s="45"/>
      <c r="F190" s="45"/>
      <c r="G190" s="45"/>
      <c r="H190" s="160"/>
      <c r="I190" s="45"/>
      <c r="J190" s="45"/>
      <c r="K190" s="45"/>
      <c r="U190" s="56"/>
    </row>
    <row r="191" customFormat="false" ht="30" hidden="false" customHeight="true" outlineLevel="0" collapsed="false">
      <c r="B191" s="56"/>
      <c r="C191" s="181"/>
      <c r="D191" s="182" t="s">
        <v>152</v>
      </c>
      <c r="E191" s="182"/>
      <c r="F191" s="182"/>
      <c r="G191" s="182"/>
      <c r="H191" s="182"/>
      <c r="I191" s="182"/>
      <c r="J191" s="182"/>
      <c r="K191" s="182"/>
      <c r="L191" s="182"/>
      <c r="M191" s="182"/>
      <c r="N191" s="182"/>
      <c r="O191" s="341"/>
      <c r="P191" s="341"/>
      <c r="Q191" s="341"/>
      <c r="R191" s="341"/>
      <c r="S191" s="341"/>
      <c r="T191" s="181"/>
      <c r="U191" s="56"/>
    </row>
    <row r="192" customFormat="false" ht="50.1" hidden="false" customHeight="true" outlineLevel="0" collapsed="false">
      <c r="B192" s="56"/>
      <c r="C192" s="181"/>
      <c r="D192" s="183" t="s">
        <v>48</v>
      </c>
      <c r="E192" s="184" t="s">
        <v>223</v>
      </c>
      <c r="F192" s="185" t="s">
        <v>88</v>
      </c>
      <c r="G192" s="186" t="s">
        <v>101</v>
      </c>
      <c r="H192" s="187" t="s">
        <v>102</v>
      </c>
      <c r="I192" s="187"/>
      <c r="J192" s="188" t="s">
        <v>103</v>
      </c>
      <c r="K192" s="189" t="s">
        <v>104</v>
      </c>
      <c r="L192" s="185" t="s">
        <v>105</v>
      </c>
      <c r="M192" s="189" t="s">
        <v>106</v>
      </c>
      <c r="N192" s="184" t="s">
        <v>108</v>
      </c>
      <c r="O192" s="342"/>
      <c r="P192" s="343"/>
      <c r="Q192" s="343"/>
      <c r="R192" s="343"/>
      <c r="S192" s="181"/>
      <c r="T192" s="181"/>
      <c r="U192" s="56"/>
    </row>
    <row r="193" customFormat="false" ht="20.1" hidden="false" customHeight="true" outlineLevel="0" collapsed="false">
      <c r="B193" s="56"/>
      <c r="C193" s="181"/>
      <c r="D193" s="306" t="s">
        <v>33</v>
      </c>
      <c r="E193" s="344" t="s">
        <v>34</v>
      </c>
      <c r="F193" s="269" t="n">
        <f aca="false">K193*6+L193*3+M193*0</f>
        <v>12</v>
      </c>
      <c r="G193" s="270" t="n">
        <v>-1</v>
      </c>
      <c r="H193" s="345"/>
      <c r="I193" s="345"/>
      <c r="J193" s="269" t="n">
        <f aca="false">F193+G193</f>
        <v>11</v>
      </c>
      <c r="K193" s="269" t="n">
        <v>2</v>
      </c>
      <c r="L193" s="269" t="n">
        <v>0</v>
      </c>
      <c r="M193" s="269" t="n">
        <v>1</v>
      </c>
      <c r="N193" s="272" t="n">
        <f aca="false">(L171+L179+L187)/3</f>
        <v>75.3086419753087</v>
      </c>
      <c r="O193" s="291"/>
      <c r="P193" s="289"/>
      <c r="Q193" s="289"/>
      <c r="R193" s="289"/>
      <c r="S193" s="181"/>
      <c r="T193" s="181"/>
      <c r="U193" s="56"/>
    </row>
    <row r="194" customFormat="false" ht="20.1" hidden="false" customHeight="true" outlineLevel="0" collapsed="false">
      <c r="B194" s="56"/>
      <c r="C194" s="181"/>
      <c r="D194" s="198" t="s">
        <v>35</v>
      </c>
      <c r="E194" s="346" t="s">
        <v>36</v>
      </c>
      <c r="F194" s="275" t="n">
        <f aca="false">K194*6+L194*3+M194*0</f>
        <v>9</v>
      </c>
      <c r="G194" s="276" t="n">
        <v>0</v>
      </c>
      <c r="H194" s="276" t="s">
        <v>62</v>
      </c>
      <c r="I194" s="276"/>
      <c r="J194" s="275" t="n">
        <f aca="false">F194+G194</f>
        <v>9</v>
      </c>
      <c r="K194" s="275" t="n">
        <v>0</v>
      </c>
      <c r="L194" s="275" t="n">
        <v>3</v>
      </c>
      <c r="M194" s="275" t="n">
        <v>0</v>
      </c>
      <c r="N194" s="278" t="n">
        <f aca="false">(L170+L178+L186)/3</f>
        <v>94.7811447811448</v>
      </c>
      <c r="O194" s="291"/>
      <c r="P194" s="289"/>
      <c r="Q194" s="289"/>
      <c r="R194" s="289"/>
      <c r="S194" s="181"/>
      <c r="T194" s="181"/>
      <c r="U194" s="56"/>
    </row>
    <row r="195" customFormat="false" ht="20.1" hidden="false" customHeight="true" outlineLevel="0" collapsed="false">
      <c r="B195" s="56"/>
      <c r="C195" s="181"/>
      <c r="D195" s="282" t="s">
        <v>24</v>
      </c>
      <c r="E195" s="347" t="s">
        <v>25</v>
      </c>
      <c r="F195" s="284" t="n">
        <f aca="false">K195*6+L195*3+M195*0</f>
        <v>6</v>
      </c>
      <c r="G195" s="285" t="n">
        <v>0</v>
      </c>
      <c r="H195" s="285" t="s">
        <v>62</v>
      </c>
      <c r="I195" s="285"/>
      <c r="J195" s="284" t="n">
        <f aca="false">F195+G195</f>
        <v>6</v>
      </c>
      <c r="K195" s="284" t="n">
        <v>1</v>
      </c>
      <c r="L195" s="284" t="n">
        <v>0</v>
      </c>
      <c r="M195" s="284" t="n">
        <v>2</v>
      </c>
      <c r="N195" s="287" t="n">
        <f aca="false">(L169+L177+L185)/3</f>
        <v>82.4494949494949</v>
      </c>
      <c r="O195" s="291"/>
      <c r="P195" s="289"/>
      <c r="Q195" s="289"/>
      <c r="R195" s="289"/>
      <c r="S195" s="181"/>
      <c r="T195" s="181"/>
      <c r="U195" s="56"/>
    </row>
    <row r="196" customFormat="false" ht="20.1" hidden="false" customHeight="true" outlineLevel="0" collapsed="false">
      <c r="B196" s="56"/>
      <c r="C196" s="181"/>
      <c r="D196" s="181"/>
      <c r="E196" s="181"/>
      <c r="F196" s="181"/>
      <c r="G196" s="181"/>
      <c r="H196" s="181"/>
      <c r="I196" s="181"/>
      <c r="J196" s="181"/>
      <c r="K196" s="181"/>
      <c r="L196" s="181"/>
      <c r="M196" s="181"/>
      <c r="N196" s="181"/>
      <c r="O196" s="181"/>
      <c r="P196" s="181"/>
      <c r="Q196" s="181"/>
      <c r="R196" s="181"/>
      <c r="S196" s="181"/>
      <c r="T196" s="181"/>
      <c r="U196" s="56"/>
    </row>
    <row r="197" customFormat="false" ht="20.1" hidden="false" customHeight="true" outlineLevel="0" collapsed="false">
      <c r="B197" s="56"/>
      <c r="C197" s="56"/>
      <c r="D197" s="213"/>
      <c r="E197" s="213"/>
      <c r="F197" s="164"/>
      <c r="G197" s="164"/>
      <c r="H197" s="213"/>
      <c r="I197" s="213"/>
      <c r="J197" s="213"/>
      <c r="K197" s="56"/>
      <c r="L197" s="56"/>
      <c r="M197" s="56"/>
      <c r="N197" s="56"/>
      <c r="O197" s="56"/>
      <c r="P197" s="56"/>
      <c r="Q197" s="56"/>
      <c r="R197" s="56"/>
      <c r="S197" s="56"/>
      <c r="T197" s="56"/>
      <c r="U197" s="56"/>
    </row>
    <row r="198" customFormat="false" ht="20.1" hidden="false" customHeight="true" outlineLevel="0" collapsed="false"/>
    <row r="199" customFormat="false" ht="20.1" hidden="false" customHeight="true" outlineLevel="0" collapsed="false"/>
    <row r="200" customFormat="false" ht="20.1" hidden="false" customHeight="true" outlineLevel="0" collapsed="false">
      <c r="B200" s="56"/>
      <c r="C200" s="56"/>
      <c r="D200" s="57"/>
      <c r="E200" s="57"/>
      <c r="F200" s="57"/>
      <c r="G200" s="57"/>
      <c r="H200" s="56"/>
      <c r="I200" s="56"/>
      <c r="J200" s="56"/>
      <c r="K200" s="56"/>
      <c r="L200" s="56"/>
      <c r="M200" s="56"/>
      <c r="N200" s="56"/>
      <c r="O200" s="56"/>
      <c r="P200" s="56"/>
      <c r="Q200" s="56"/>
      <c r="R200" s="56"/>
      <c r="S200" s="56"/>
      <c r="T200" s="56"/>
      <c r="U200" s="56"/>
    </row>
    <row r="201" customFormat="false" ht="30" hidden="false" customHeight="true" outlineLevel="0" collapsed="false">
      <c r="B201" s="56"/>
      <c r="C201" s="58" t="s">
        <v>224</v>
      </c>
      <c r="D201" s="58"/>
      <c r="E201" s="58"/>
      <c r="F201" s="58"/>
      <c r="G201" s="58"/>
      <c r="H201" s="58"/>
      <c r="I201" s="58"/>
      <c r="J201" s="58"/>
      <c r="K201" s="58"/>
      <c r="L201" s="58"/>
      <c r="M201" s="58"/>
      <c r="N201" s="58"/>
      <c r="O201" s="58"/>
      <c r="P201" s="58"/>
      <c r="Q201" s="58"/>
      <c r="R201" s="58"/>
      <c r="S201" s="58"/>
      <c r="T201" s="58"/>
      <c r="U201" s="56"/>
    </row>
    <row r="202" customFormat="false" ht="20.1" hidden="false" customHeight="true" outlineLevel="0" collapsed="false">
      <c r="B202" s="56"/>
      <c r="U202" s="56"/>
    </row>
    <row r="203" customFormat="false" ht="20.1" hidden="false" customHeight="true" outlineLevel="0" collapsed="false">
      <c r="B203" s="56"/>
      <c r="D203" s="59" t="s">
        <v>48</v>
      </c>
      <c r="E203" s="60" t="s">
        <v>209</v>
      </c>
      <c r="F203" s="61" t="s">
        <v>10</v>
      </c>
      <c r="G203" s="62" t="s">
        <v>50</v>
      </c>
      <c r="H203" s="62"/>
      <c r="I203" s="62"/>
      <c r="J203" s="62"/>
      <c r="K203" s="60" t="s">
        <v>51</v>
      </c>
      <c r="L203" s="62" t="s">
        <v>52</v>
      </c>
      <c r="M203" s="62"/>
      <c r="N203" s="62"/>
      <c r="O203" s="62"/>
      <c r="P203" s="62"/>
      <c r="Q203" s="62"/>
      <c r="R203" s="62"/>
      <c r="S203" s="62"/>
      <c r="U203" s="56"/>
    </row>
    <row r="204" customFormat="false" ht="20.1" hidden="false" customHeight="true" outlineLevel="0" collapsed="false">
      <c r="B204" s="56"/>
      <c r="D204" s="59"/>
      <c r="E204" s="60"/>
      <c r="F204" s="60"/>
      <c r="G204" s="66" t="s">
        <v>53</v>
      </c>
      <c r="H204" s="65" t="s">
        <v>54</v>
      </c>
      <c r="I204" s="64" t="s">
        <v>55</v>
      </c>
      <c r="J204" s="64"/>
      <c r="K204" s="65" t="s">
        <v>56</v>
      </c>
      <c r="L204" s="217" t="s">
        <v>53</v>
      </c>
      <c r="M204" s="218" t="s">
        <v>57</v>
      </c>
      <c r="N204" s="64" t="s">
        <v>55</v>
      </c>
      <c r="O204" s="64"/>
      <c r="P204" s="64"/>
      <c r="Q204" s="64"/>
      <c r="R204" s="64"/>
      <c r="S204" s="64"/>
      <c r="U204" s="56"/>
    </row>
    <row r="205" customFormat="false" ht="20.1" hidden="false" customHeight="true" outlineLevel="0" collapsed="false">
      <c r="B205" s="56"/>
      <c r="D205" s="348" t="s">
        <v>42</v>
      </c>
      <c r="E205" s="349" t="s">
        <v>43</v>
      </c>
      <c r="F205" s="350" t="n">
        <v>1</v>
      </c>
      <c r="G205" s="351" t="s">
        <v>58</v>
      </c>
      <c r="H205" s="352" t="s">
        <v>225</v>
      </c>
      <c r="I205" s="353" t="s">
        <v>62</v>
      </c>
      <c r="J205" s="353"/>
      <c r="K205" s="354" t="s">
        <v>113</v>
      </c>
      <c r="L205" s="355" t="s">
        <v>62</v>
      </c>
      <c r="M205" s="356" t="s">
        <v>62</v>
      </c>
      <c r="N205" s="74" t="s">
        <v>62</v>
      </c>
      <c r="O205" s="74"/>
      <c r="P205" s="74"/>
      <c r="Q205" s="74"/>
      <c r="R205" s="74"/>
      <c r="S205" s="74"/>
      <c r="U205" s="56"/>
    </row>
    <row r="206" customFormat="false" ht="20.1" hidden="false" customHeight="true" outlineLevel="0" collapsed="false">
      <c r="B206" s="56"/>
      <c r="D206" s="357" t="s">
        <v>44</v>
      </c>
      <c r="E206" s="358" t="s">
        <v>45</v>
      </c>
      <c r="F206" s="359" t="n">
        <v>2</v>
      </c>
      <c r="G206" s="360" t="s">
        <v>58</v>
      </c>
      <c r="H206" s="361" t="s">
        <v>226</v>
      </c>
      <c r="I206" s="85" t="s">
        <v>62</v>
      </c>
      <c r="J206" s="85"/>
      <c r="K206" s="362" t="s">
        <v>113</v>
      </c>
      <c r="L206" s="363"/>
      <c r="M206" s="364"/>
      <c r="N206" s="365"/>
      <c r="O206" s="365"/>
      <c r="P206" s="365"/>
      <c r="Q206" s="365"/>
      <c r="R206" s="365"/>
      <c r="S206" s="365"/>
      <c r="U206" s="56"/>
    </row>
    <row r="207" customFormat="false" ht="15" hidden="false" customHeight="true" outlineLevel="0" collapsed="false">
      <c r="B207" s="56"/>
      <c r="D207" s="77" t="s">
        <v>44</v>
      </c>
      <c r="E207" s="32" t="s">
        <v>45</v>
      </c>
      <c r="F207" s="366" t="n">
        <v>3</v>
      </c>
      <c r="G207" s="230" t="s">
        <v>58</v>
      </c>
      <c r="H207" s="231" t="s">
        <v>75</v>
      </c>
      <c r="I207" s="91" t="s">
        <v>76</v>
      </c>
      <c r="J207" s="91"/>
      <c r="K207" s="367"/>
      <c r="L207" s="368"/>
      <c r="M207" s="369"/>
      <c r="N207" s="370"/>
      <c r="O207" s="370"/>
      <c r="P207" s="370"/>
      <c r="Q207" s="370"/>
      <c r="R207" s="370"/>
      <c r="S207" s="370"/>
      <c r="U207" s="56"/>
    </row>
    <row r="208" customFormat="false" ht="27.95" hidden="false" customHeight="true" outlineLevel="0" collapsed="false">
      <c r="B208" s="56"/>
      <c r="D208" s="77"/>
      <c r="E208" s="32"/>
      <c r="F208" s="366"/>
      <c r="G208" s="230"/>
      <c r="H208" s="231"/>
      <c r="I208" s="96" t="s">
        <v>78</v>
      </c>
      <c r="J208" s="96"/>
      <c r="K208" s="371"/>
      <c r="L208" s="372"/>
      <c r="M208" s="373"/>
      <c r="N208" s="374"/>
      <c r="O208" s="375"/>
      <c r="P208" s="375"/>
      <c r="Q208" s="375"/>
      <c r="R208" s="375"/>
      <c r="S208" s="376"/>
      <c r="U208" s="56"/>
    </row>
    <row r="209" customFormat="false" ht="15" hidden="false" customHeight="true" outlineLevel="0" collapsed="false">
      <c r="B209" s="56"/>
      <c r="D209" s="77"/>
      <c r="E209" s="32"/>
      <c r="F209" s="366"/>
      <c r="G209" s="230"/>
      <c r="H209" s="231"/>
      <c r="I209" s="96" t="s">
        <v>79</v>
      </c>
      <c r="J209" s="96"/>
      <c r="K209" s="371"/>
      <c r="L209" s="372"/>
      <c r="M209" s="373"/>
      <c r="N209" s="374"/>
      <c r="O209" s="375"/>
      <c r="P209" s="375"/>
      <c r="Q209" s="375"/>
      <c r="R209" s="375"/>
      <c r="S209" s="376"/>
      <c r="U209" s="56"/>
    </row>
    <row r="210" customFormat="false" ht="27.95" hidden="false" customHeight="true" outlineLevel="0" collapsed="false">
      <c r="B210" s="56"/>
      <c r="D210" s="97" t="s">
        <v>42</v>
      </c>
      <c r="E210" s="40" t="s">
        <v>43</v>
      </c>
      <c r="F210" s="377" t="n">
        <v>4</v>
      </c>
      <c r="G210" s="237" t="s">
        <v>58</v>
      </c>
      <c r="H210" s="238" t="s">
        <v>227</v>
      </c>
      <c r="I210" s="101" t="s">
        <v>141</v>
      </c>
      <c r="J210" s="101"/>
      <c r="K210" s="378"/>
      <c r="L210" s="368"/>
      <c r="M210" s="369"/>
      <c r="N210" s="370"/>
      <c r="O210" s="370"/>
      <c r="P210" s="370"/>
      <c r="Q210" s="370"/>
      <c r="R210" s="370"/>
      <c r="S210" s="370"/>
      <c r="U210" s="56"/>
    </row>
    <row r="211" customFormat="false" ht="15" hidden="false" customHeight="true" outlineLevel="0" collapsed="false">
      <c r="B211" s="56"/>
      <c r="D211" s="97"/>
      <c r="E211" s="40"/>
      <c r="F211" s="377"/>
      <c r="G211" s="237"/>
      <c r="H211" s="238"/>
      <c r="I211" s="103" t="s">
        <v>63</v>
      </c>
      <c r="J211" s="103"/>
      <c r="K211" s="379"/>
      <c r="L211" s="372"/>
      <c r="M211" s="373"/>
      <c r="N211" s="380"/>
      <c r="O211" s="380"/>
      <c r="P211" s="380"/>
      <c r="Q211" s="380"/>
      <c r="R211" s="380"/>
      <c r="S211" s="381"/>
      <c r="U211" s="56"/>
    </row>
    <row r="212" customFormat="false" ht="15" hidden="false" customHeight="true" outlineLevel="0" collapsed="false">
      <c r="B212" s="56"/>
      <c r="D212" s="97"/>
      <c r="E212" s="40"/>
      <c r="F212" s="377"/>
      <c r="G212" s="237"/>
      <c r="H212" s="238"/>
      <c r="I212" s="104" t="s">
        <v>64</v>
      </c>
      <c r="J212" s="104"/>
      <c r="K212" s="382"/>
      <c r="L212" s="383"/>
      <c r="M212" s="384"/>
      <c r="N212" s="385"/>
      <c r="O212" s="385"/>
      <c r="P212" s="385"/>
      <c r="Q212" s="385"/>
      <c r="R212" s="385"/>
      <c r="S212" s="386"/>
      <c r="U212" s="56"/>
    </row>
    <row r="213" customFormat="false" ht="20.1" hidden="false" customHeight="true" outlineLevel="0" collapsed="false">
      <c r="B213" s="56"/>
      <c r="U213" s="56"/>
    </row>
    <row r="214" customFormat="false" ht="20.1" hidden="false" customHeight="true" outlineLevel="0" collapsed="false">
      <c r="B214" s="56"/>
      <c r="C214" s="106"/>
      <c r="D214" s="106"/>
      <c r="E214" s="107" t="str">
        <f aca="false">IF(OR(L205="-",L205= ""),H205,L205)</f>
        <v>Targi</v>
      </c>
      <c r="F214" s="107"/>
      <c r="G214" s="107"/>
      <c r="H214" s="107"/>
      <c r="I214" s="107"/>
      <c r="J214" s="107"/>
      <c r="K214" s="107"/>
      <c r="L214" s="107"/>
      <c r="M214" s="107"/>
      <c r="N214" s="107"/>
      <c r="O214" s="108"/>
      <c r="P214" s="108"/>
      <c r="Q214" s="108"/>
      <c r="R214" s="108"/>
      <c r="S214" s="108"/>
      <c r="T214" s="106"/>
      <c r="U214" s="56"/>
    </row>
    <row r="215" customFormat="false" ht="50.1" hidden="false" customHeight="true" outlineLevel="0" collapsed="false">
      <c r="B215" s="56"/>
      <c r="C215" s="106"/>
      <c r="D215" s="108"/>
      <c r="E215" s="59" t="s">
        <v>48</v>
      </c>
      <c r="F215" s="109" t="s">
        <v>80</v>
      </c>
      <c r="G215" s="61" t="s">
        <v>81</v>
      </c>
      <c r="H215" s="60" t="s">
        <v>82</v>
      </c>
      <c r="I215" s="6" t="s">
        <v>83</v>
      </c>
      <c r="J215" s="60" t="s">
        <v>84</v>
      </c>
      <c r="K215" s="110" t="s">
        <v>85</v>
      </c>
      <c r="L215" s="60" t="s">
        <v>86</v>
      </c>
      <c r="M215" s="111" t="s">
        <v>87</v>
      </c>
      <c r="N215" s="61" t="s">
        <v>88</v>
      </c>
      <c r="O215" s="112" t="s">
        <v>89</v>
      </c>
      <c r="P215" s="113" t="s">
        <v>90</v>
      </c>
      <c r="Q215" s="108"/>
      <c r="R215" s="108"/>
      <c r="S215" s="108"/>
      <c r="T215" s="106"/>
      <c r="U215" s="56"/>
    </row>
    <row r="216" customFormat="false" ht="20.1" hidden="false" customHeight="true" outlineLevel="0" collapsed="false">
      <c r="B216" s="56"/>
      <c r="C216" s="106"/>
      <c r="D216" s="131"/>
      <c r="E216" s="387" t="s">
        <v>42</v>
      </c>
      <c r="F216" s="244" t="s">
        <v>43</v>
      </c>
      <c r="G216" s="245" t="n">
        <v>2</v>
      </c>
      <c r="H216" s="245" t="s">
        <v>62</v>
      </c>
      <c r="I216" s="245" t="n">
        <v>4</v>
      </c>
      <c r="J216" s="245" t="n">
        <v>34</v>
      </c>
      <c r="K216" s="245" t="s">
        <v>62</v>
      </c>
      <c r="L216" s="246" t="n">
        <f aca="false">IF(J216="",0,(J216/J218)*100)</f>
        <v>100</v>
      </c>
      <c r="M216" s="245" t="n">
        <v>1</v>
      </c>
      <c r="N216" s="247" t="n">
        <v>6</v>
      </c>
      <c r="O216" s="117" t="n">
        <f aca="false">IF(M216=1,1,0)</f>
        <v>1</v>
      </c>
      <c r="P216" s="118" t="n">
        <f aca="false">IF(M216=2,1,0)</f>
        <v>0</v>
      </c>
      <c r="Q216" s="119"/>
      <c r="R216" s="119"/>
      <c r="S216" s="119"/>
      <c r="T216" s="106"/>
      <c r="U216" s="56"/>
    </row>
    <row r="217" customFormat="false" ht="20.1" hidden="false" customHeight="true" outlineLevel="0" collapsed="false">
      <c r="B217" s="56"/>
      <c r="C217" s="106"/>
      <c r="D217" s="106"/>
      <c r="E217" s="252" t="s">
        <v>44</v>
      </c>
      <c r="F217" s="39" t="s">
        <v>45</v>
      </c>
      <c r="G217" s="253" t="n">
        <v>1</v>
      </c>
      <c r="H217" s="253" t="s">
        <v>62</v>
      </c>
      <c r="I217" s="253" t="n">
        <v>4</v>
      </c>
      <c r="J217" s="253" t="n">
        <v>31</v>
      </c>
      <c r="K217" s="254" t="s">
        <v>62</v>
      </c>
      <c r="L217" s="255" t="n">
        <f aca="false">IF(J217="",0,(J217/J218)*100)</f>
        <v>91.1764705882353</v>
      </c>
      <c r="M217" s="253" t="n">
        <v>2</v>
      </c>
      <c r="N217" s="256" t="n">
        <v>0</v>
      </c>
      <c r="O217" s="136" t="n">
        <f aca="false">IF(M217=1,1,0)</f>
        <v>0</v>
      </c>
      <c r="P217" s="137" t="n">
        <f aca="false">IF(M217=2,1,0)</f>
        <v>1</v>
      </c>
      <c r="Q217" s="119"/>
      <c r="R217" s="119"/>
      <c r="S217" s="119"/>
      <c r="T217" s="106"/>
      <c r="U217" s="56"/>
    </row>
    <row r="218" customFormat="false" ht="20.1" hidden="true" customHeight="true" outlineLevel="1" collapsed="false">
      <c r="B218" s="56"/>
      <c r="C218" s="106"/>
      <c r="D218" s="131"/>
      <c r="E218" s="131"/>
      <c r="F218" s="139"/>
      <c r="G218" s="139"/>
      <c r="H218" s="106"/>
      <c r="I218" s="170" t="s">
        <v>94</v>
      </c>
      <c r="J218" s="141" t="n">
        <f aca="false">MAX(J216:J217)</f>
        <v>34</v>
      </c>
      <c r="K218" s="257"/>
      <c r="L218" s="147"/>
      <c r="M218" s="106"/>
      <c r="N218" s="144" t="s">
        <v>95</v>
      </c>
      <c r="O218" s="145" t="n">
        <f aca="false">SUM(O216:O217)</f>
        <v>1</v>
      </c>
      <c r="P218" s="158" t="n">
        <f aca="false">SUM(P216:P217)</f>
        <v>1</v>
      </c>
      <c r="Q218" s="147"/>
      <c r="R218" s="147"/>
      <c r="S218" s="147"/>
      <c r="T218" s="106"/>
      <c r="U218" s="56"/>
    </row>
    <row r="219" customFormat="false" ht="20.1" hidden="false" customHeight="true" outlineLevel="0" collapsed="false">
      <c r="B219" s="56"/>
      <c r="C219" s="106"/>
      <c r="D219" s="106"/>
      <c r="E219" s="106"/>
      <c r="F219" s="106"/>
      <c r="G219" s="106"/>
      <c r="H219" s="106"/>
      <c r="I219" s="106"/>
      <c r="J219" s="106"/>
      <c r="K219" s="106"/>
      <c r="L219" s="106"/>
      <c r="M219" s="106"/>
      <c r="N219" s="106"/>
      <c r="O219" s="106"/>
      <c r="P219" s="106"/>
      <c r="Q219" s="106"/>
      <c r="R219" s="106"/>
      <c r="S219" s="106"/>
      <c r="T219" s="106"/>
      <c r="U219" s="56"/>
    </row>
    <row r="220" customFormat="false" ht="20.1" hidden="false" customHeight="true" outlineLevel="0" collapsed="false">
      <c r="B220" s="56"/>
      <c r="U220" s="56"/>
    </row>
    <row r="221" customFormat="false" ht="20.1" hidden="false" customHeight="true" outlineLevel="0" collapsed="false">
      <c r="B221" s="56"/>
      <c r="C221" s="149"/>
      <c r="D221" s="149"/>
      <c r="E221" s="150" t="str">
        <f aca="false">IF(OR(L206="-",L206= ""),H206,L206)</f>
        <v>7 Wonders Architects</v>
      </c>
      <c r="F221" s="150"/>
      <c r="G221" s="150"/>
      <c r="H221" s="150"/>
      <c r="I221" s="150"/>
      <c r="J221" s="150"/>
      <c r="K221" s="150"/>
      <c r="L221" s="150"/>
      <c r="M221" s="150"/>
      <c r="N221" s="150"/>
      <c r="O221" s="151"/>
      <c r="P221" s="151"/>
      <c r="Q221" s="151"/>
      <c r="R221" s="151"/>
      <c r="S221" s="151"/>
      <c r="T221" s="149"/>
      <c r="U221" s="56"/>
    </row>
    <row r="222" customFormat="false" ht="50.1" hidden="false" customHeight="true" outlineLevel="0" collapsed="false">
      <c r="B222" s="56"/>
      <c r="C222" s="149"/>
      <c r="D222" s="151"/>
      <c r="E222" s="59" t="s">
        <v>48</v>
      </c>
      <c r="F222" s="109" t="s">
        <v>80</v>
      </c>
      <c r="G222" s="61" t="s">
        <v>81</v>
      </c>
      <c r="H222" s="60" t="s">
        <v>82</v>
      </c>
      <c r="I222" s="6" t="s">
        <v>83</v>
      </c>
      <c r="J222" s="60" t="s">
        <v>84</v>
      </c>
      <c r="K222" s="110" t="s">
        <v>85</v>
      </c>
      <c r="L222" s="60" t="s">
        <v>86</v>
      </c>
      <c r="M222" s="111" t="s">
        <v>87</v>
      </c>
      <c r="N222" s="61" t="s">
        <v>88</v>
      </c>
      <c r="O222" s="112" t="s">
        <v>89</v>
      </c>
      <c r="P222" s="113" t="s">
        <v>90</v>
      </c>
      <c r="Q222" s="151"/>
      <c r="R222" s="151"/>
      <c r="S222" s="151"/>
      <c r="T222" s="149"/>
      <c r="U222" s="56"/>
    </row>
    <row r="223" customFormat="false" ht="20.1" hidden="false" customHeight="true" outlineLevel="0" collapsed="false">
      <c r="B223" s="56"/>
      <c r="C223" s="149"/>
      <c r="D223" s="153"/>
      <c r="E223" s="387" t="s">
        <v>42</v>
      </c>
      <c r="F223" s="244" t="s">
        <v>43</v>
      </c>
      <c r="G223" s="245" t="n">
        <v>1</v>
      </c>
      <c r="H223" s="245" t="s">
        <v>62</v>
      </c>
      <c r="I223" s="245" t="n">
        <v>0</v>
      </c>
      <c r="J223" s="245" t="n">
        <v>41</v>
      </c>
      <c r="K223" s="245" t="s">
        <v>62</v>
      </c>
      <c r="L223" s="246" t="n">
        <f aca="false">IF(J223="",0,(J223/J225)*100)</f>
        <v>100</v>
      </c>
      <c r="M223" s="245" t="n">
        <v>1</v>
      </c>
      <c r="N223" s="247" t="n">
        <v>6</v>
      </c>
      <c r="O223" s="117" t="n">
        <f aca="false">IF(M223=1,1,0)</f>
        <v>1</v>
      </c>
      <c r="P223" s="118" t="n">
        <f aca="false">IF(M223=2,1,0)</f>
        <v>0</v>
      </c>
      <c r="Q223" s="152"/>
      <c r="R223" s="152"/>
      <c r="S223" s="152"/>
      <c r="T223" s="149"/>
      <c r="U223" s="56"/>
    </row>
    <row r="224" customFormat="false" ht="20.1" hidden="false" customHeight="true" outlineLevel="0" collapsed="false">
      <c r="B224" s="56"/>
      <c r="C224" s="149"/>
      <c r="D224" s="149"/>
      <c r="E224" s="252" t="s">
        <v>44</v>
      </c>
      <c r="F224" s="39" t="s">
        <v>45</v>
      </c>
      <c r="G224" s="253" t="n">
        <v>2</v>
      </c>
      <c r="H224" s="253" t="s">
        <v>62</v>
      </c>
      <c r="I224" s="253" t="n">
        <v>0</v>
      </c>
      <c r="J224" s="253" t="n">
        <v>35</v>
      </c>
      <c r="K224" s="254" t="s">
        <v>62</v>
      </c>
      <c r="L224" s="255" t="n">
        <f aca="false">IF(J224="",0,(J224/J225)*100)</f>
        <v>85.3658536585366</v>
      </c>
      <c r="M224" s="253" t="n">
        <v>2</v>
      </c>
      <c r="N224" s="256" t="n">
        <v>0</v>
      </c>
      <c r="O224" s="136" t="n">
        <f aca="false">IF(M224=1,1,0)</f>
        <v>0</v>
      </c>
      <c r="P224" s="137" t="n">
        <f aca="false">IF(M224=2,1,0)</f>
        <v>1</v>
      </c>
      <c r="Q224" s="152"/>
      <c r="R224" s="152"/>
      <c r="S224" s="152"/>
      <c r="T224" s="149"/>
      <c r="U224" s="56"/>
    </row>
    <row r="225" customFormat="false" ht="20.1" hidden="true" customHeight="true" outlineLevel="1" collapsed="false">
      <c r="B225" s="56"/>
      <c r="C225" s="149"/>
      <c r="D225" s="149"/>
      <c r="E225" s="149"/>
      <c r="F225" s="155"/>
      <c r="G225" s="155"/>
      <c r="H225" s="149"/>
      <c r="I225" s="170" t="s">
        <v>94</v>
      </c>
      <c r="J225" s="141" t="n">
        <f aca="false">MAX(J223:J224)</f>
        <v>41</v>
      </c>
      <c r="K225" s="157"/>
      <c r="L225" s="152"/>
      <c r="M225" s="149"/>
      <c r="N225" s="144" t="s">
        <v>95</v>
      </c>
      <c r="O225" s="145" t="n">
        <f aca="false">SUM(O223:O224)</f>
        <v>1</v>
      </c>
      <c r="P225" s="158" t="n">
        <f aca="false">SUM(P223:P224)</f>
        <v>1</v>
      </c>
      <c r="Q225" s="159"/>
      <c r="R225" s="159"/>
      <c r="S225" s="159"/>
      <c r="T225" s="149"/>
      <c r="U225" s="56"/>
    </row>
    <row r="226" customFormat="false" ht="20.1" hidden="false" customHeight="true" outlineLevel="0" collapsed="false">
      <c r="B226" s="56"/>
      <c r="C226" s="149"/>
      <c r="D226" s="149"/>
      <c r="E226" s="149"/>
      <c r="F226" s="149"/>
      <c r="G226" s="149"/>
      <c r="H226" s="149"/>
      <c r="I226" s="149"/>
      <c r="J226" s="149"/>
      <c r="K226" s="149"/>
      <c r="L226" s="149"/>
      <c r="M226" s="149"/>
      <c r="N226" s="149"/>
      <c r="O226" s="149"/>
      <c r="P226" s="149"/>
      <c r="Q226" s="149"/>
      <c r="R226" s="149"/>
      <c r="S226" s="149"/>
      <c r="T226" s="149"/>
      <c r="U226" s="56"/>
    </row>
    <row r="227" customFormat="false" ht="20.1" hidden="false" customHeight="true" outlineLevel="0" collapsed="false">
      <c r="B227" s="56"/>
      <c r="D227" s="45"/>
      <c r="E227" s="45"/>
      <c r="F227" s="45"/>
      <c r="G227" s="45"/>
      <c r="H227" s="160"/>
      <c r="I227" s="45"/>
      <c r="J227" s="45"/>
      <c r="U227" s="56"/>
    </row>
    <row r="228" customFormat="false" ht="20.1" hidden="false" customHeight="true" outlineLevel="0" collapsed="false">
      <c r="B228" s="56"/>
      <c r="C228" s="161"/>
      <c r="D228" s="161"/>
      <c r="E228" s="162" t="str">
        <f aca="false">IF(OR(L207="-",L207= ""),H207,L207)</f>
        <v>Flügelschlag</v>
      </c>
      <c r="F228" s="162"/>
      <c r="G228" s="162"/>
      <c r="H228" s="162"/>
      <c r="I228" s="162"/>
      <c r="J228" s="162"/>
      <c r="K228" s="162"/>
      <c r="L228" s="162"/>
      <c r="M228" s="162"/>
      <c r="N228" s="162"/>
      <c r="O228" s="163"/>
      <c r="P228" s="163"/>
      <c r="Q228" s="163"/>
      <c r="R228" s="163"/>
      <c r="S228" s="163"/>
      <c r="T228" s="161"/>
      <c r="U228" s="164"/>
    </row>
    <row r="229" customFormat="false" ht="50.1" hidden="false" customHeight="true" outlineLevel="0" collapsed="false">
      <c r="B229" s="56"/>
      <c r="C229" s="161"/>
      <c r="D229" s="163"/>
      <c r="E229" s="59" t="s">
        <v>48</v>
      </c>
      <c r="F229" s="109" t="s">
        <v>80</v>
      </c>
      <c r="G229" s="61" t="s">
        <v>81</v>
      </c>
      <c r="H229" s="60" t="s">
        <v>82</v>
      </c>
      <c r="I229" s="6" t="s">
        <v>83</v>
      </c>
      <c r="J229" s="60" t="s">
        <v>84</v>
      </c>
      <c r="K229" s="110" t="s">
        <v>85</v>
      </c>
      <c r="L229" s="60" t="s">
        <v>86</v>
      </c>
      <c r="M229" s="111" t="s">
        <v>87</v>
      </c>
      <c r="N229" s="61" t="s">
        <v>88</v>
      </c>
      <c r="O229" s="112" t="s">
        <v>89</v>
      </c>
      <c r="P229" s="113" t="s">
        <v>90</v>
      </c>
      <c r="Q229" s="163"/>
      <c r="R229" s="163"/>
      <c r="S229" s="163"/>
      <c r="T229" s="161"/>
      <c r="U229" s="164"/>
    </row>
    <row r="230" customFormat="false" ht="20.1" hidden="false" customHeight="true" outlineLevel="0" collapsed="false">
      <c r="B230" s="56"/>
      <c r="C230" s="161"/>
      <c r="D230" s="167"/>
      <c r="E230" s="387" t="s">
        <v>42</v>
      </c>
      <c r="F230" s="244" t="s">
        <v>43</v>
      </c>
      <c r="G230" s="245" t="n">
        <v>1</v>
      </c>
      <c r="H230" s="245" t="s">
        <v>62</v>
      </c>
      <c r="I230" s="245" t="n">
        <v>0</v>
      </c>
      <c r="J230" s="245" t="n">
        <v>94</v>
      </c>
      <c r="K230" s="245" t="s">
        <v>62</v>
      </c>
      <c r="L230" s="246" t="n">
        <f aca="false">IF(J230="",0,(J230/J232)*100)</f>
        <v>100</v>
      </c>
      <c r="M230" s="245" t="n">
        <v>1</v>
      </c>
      <c r="N230" s="247" t="n">
        <v>6</v>
      </c>
      <c r="O230" s="117" t="n">
        <f aca="false">IF(M230=1,1,0)</f>
        <v>1</v>
      </c>
      <c r="P230" s="118" t="n">
        <f aca="false">IF(M230=2,1,0)</f>
        <v>0</v>
      </c>
      <c r="Q230" s="166"/>
      <c r="R230" s="166"/>
      <c r="S230" s="166"/>
      <c r="T230" s="161"/>
      <c r="U230" s="56"/>
    </row>
    <row r="231" customFormat="false" ht="20.1" hidden="false" customHeight="true" outlineLevel="0" collapsed="false">
      <c r="B231" s="56"/>
      <c r="C231" s="161"/>
      <c r="D231" s="161"/>
      <c r="E231" s="252" t="s">
        <v>44</v>
      </c>
      <c r="F231" s="39" t="s">
        <v>45</v>
      </c>
      <c r="G231" s="253" t="n">
        <v>2</v>
      </c>
      <c r="H231" s="253" t="s">
        <v>62</v>
      </c>
      <c r="I231" s="253" t="n">
        <v>0</v>
      </c>
      <c r="J231" s="253" t="n">
        <v>85</v>
      </c>
      <c r="K231" s="254" t="s">
        <v>62</v>
      </c>
      <c r="L231" s="255" t="n">
        <f aca="false">IF(J231="",0,(J231/J232)*100)</f>
        <v>90.4255319148936</v>
      </c>
      <c r="M231" s="253" t="n">
        <v>2</v>
      </c>
      <c r="N231" s="256" t="n">
        <v>0</v>
      </c>
      <c r="O231" s="136" t="n">
        <f aca="false">IF(M231=1,1,0)</f>
        <v>0</v>
      </c>
      <c r="P231" s="137" t="n">
        <f aca="false">IF(M231=2,1,0)</f>
        <v>1</v>
      </c>
      <c r="Q231" s="166"/>
      <c r="R231" s="166"/>
      <c r="S231" s="166"/>
      <c r="T231" s="161"/>
      <c r="U231" s="168"/>
    </row>
    <row r="232" customFormat="false" ht="20.1" hidden="true" customHeight="true" outlineLevel="1" collapsed="false">
      <c r="B232" s="56"/>
      <c r="C232" s="161"/>
      <c r="D232" s="161"/>
      <c r="E232" s="161"/>
      <c r="F232" s="169"/>
      <c r="G232" s="169"/>
      <c r="H232" s="161"/>
      <c r="I232" s="170" t="s">
        <v>94</v>
      </c>
      <c r="J232" s="141" t="n">
        <f aca="false">MAX(J230:J231)</f>
        <v>94</v>
      </c>
      <c r="K232" s="171"/>
      <c r="L232" s="166"/>
      <c r="M232" s="161"/>
      <c r="N232" s="144" t="s">
        <v>95</v>
      </c>
      <c r="O232" s="145" t="n">
        <f aca="false">SUM(O230:O231)</f>
        <v>1</v>
      </c>
      <c r="P232" s="158" t="n">
        <f aca="false">SUM(P230:P231)</f>
        <v>1</v>
      </c>
      <c r="Q232" s="172"/>
      <c r="R232" s="172"/>
      <c r="S232" s="172"/>
      <c r="T232" s="161"/>
      <c r="U232" s="168"/>
    </row>
    <row r="233" customFormat="false" ht="20.1" hidden="false" customHeight="true" outlineLevel="0" collapsed="false">
      <c r="B233" s="56"/>
      <c r="C233" s="161"/>
      <c r="D233" s="161"/>
      <c r="E233" s="161"/>
      <c r="F233" s="161"/>
      <c r="G233" s="161"/>
      <c r="H233" s="161"/>
      <c r="I233" s="161"/>
      <c r="J233" s="161"/>
      <c r="K233" s="161"/>
      <c r="L233" s="161"/>
      <c r="M233" s="161"/>
      <c r="N233" s="161"/>
      <c r="O233" s="161"/>
      <c r="P233" s="161"/>
      <c r="Q233" s="161"/>
      <c r="R233" s="161"/>
      <c r="S233" s="161"/>
      <c r="T233" s="161"/>
      <c r="U233" s="168"/>
    </row>
    <row r="234" customFormat="false" ht="20.1" hidden="false" customHeight="true" outlineLevel="0" collapsed="false">
      <c r="B234" s="56"/>
      <c r="D234" s="45"/>
      <c r="E234" s="45"/>
      <c r="F234" s="45"/>
      <c r="G234" s="45"/>
      <c r="H234" s="160"/>
      <c r="I234" s="45"/>
      <c r="J234" s="45"/>
      <c r="K234" s="45"/>
      <c r="U234" s="56"/>
    </row>
    <row r="235" customFormat="false" ht="20.1" hidden="false" customHeight="true" outlineLevel="0" collapsed="false">
      <c r="B235" s="56"/>
      <c r="C235" s="173"/>
      <c r="D235" s="173"/>
      <c r="E235" s="174" t="str">
        <f aca="false">IF(OR(L210="-",L210= ""),H210,L210)</f>
        <v>Die Burgen von Burgund</v>
      </c>
      <c r="F235" s="174"/>
      <c r="G235" s="174"/>
      <c r="H235" s="174"/>
      <c r="I235" s="174"/>
      <c r="J235" s="174"/>
      <c r="K235" s="174"/>
      <c r="L235" s="174"/>
      <c r="M235" s="174"/>
      <c r="N235" s="174"/>
      <c r="O235" s="175"/>
      <c r="P235" s="175"/>
      <c r="Q235" s="175"/>
      <c r="R235" s="175"/>
      <c r="S235" s="175"/>
      <c r="T235" s="173"/>
      <c r="U235" s="56"/>
    </row>
    <row r="236" customFormat="false" ht="50.1" hidden="false" customHeight="true" outlineLevel="0" collapsed="false">
      <c r="B236" s="56"/>
      <c r="C236" s="173"/>
      <c r="D236" s="175"/>
      <c r="E236" s="59" t="s">
        <v>48</v>
      </c>
      <c r="F236" s="109" t="s">
        <v>80</v>
      </c>
      <c r="G236" s="61" t="s">
        <v>81</v>
      </c>
      <c r="H236" s="60" t="s">
        <v>82</v>
      </c>
      <c r="I236" s="6" t="s">
        <v>83</v>
      </c>
      <c r="J236" s="60" t="s">
        <v>84</v>
      </c>
      <c r="K236" s="110" t="s">
        <v>85</v>
      </c>
      <c r="L236" s="60" t="s">
        <v>86</v>
      </c>
      <c r="M236" s="111" t="s">
        <v>87</v>
      </c>
      <c r="N236" s="61" t="s">
        <v>88</v>
      </c>
      <c r="O236" s="112" t="s">
        <v>89</v>
      </c>
      <c r="P236" s="113" t="s">
        <v>90</v>
      </c>
      <c r="Q236" s="175"/>
      <c r="R236" s="175"/>
      <c r="S236" s="175"/>
      <c r="T236" s="173"/>
      <c r="U236" s="56"/>
    </row>
    <row r="237" customFormat="false" ht="20.1" hidden="false" customHeight="true" outlineLevel="0" collapsed="false">
      <c r="B237" s="56"/>
      <c r="C237" s="173"/>
      <c r="D237" s="173"/>
      <c r="E237" s="303" t="s">
        <v>42</v>
      </c>
      <c r="F237" s="14" t="s">
        <v>43</v>
      </c>
      <c r="G237" s="258" t="n">
        <v>1</v>
      </c>
      <c r="H237" s="258" t="s">
        <v>149</v>
      </c>
      <c r="I237" s="258" t="n">
        <v>0</v>
      </c>
      <c r="J237" s="258" t="n">
        <v>172</v>
      </c>
      <c r="K237" s="258" t="s">
        <v>62</v>
      </c>
      <c r="L237" s="259" t="n">
        <f aca="false">IF(J237="",0,(J237/J239)*100)</f>
        <v>90.5263157894737</v>
      </c>
      <c r="M237" s="258" t="n">
        <v>2</v>
      </c>
      <c r="N237" s="260" t="n">
        <v>0</v>
      </c>
      <c r="O237" s="117" t="n">
        <f aca="false">IF(M237=1,1,0)</f>
        <v>0</v>
      </c>
      <c r="P237" s="118" t="n">
        <f aca="false">IF(M237=2,1,0)</f>
        <v>1</v>
      </c>
      <c r="Q237" s="176"/>
      <c r="R237" s="176"/>
      <c r="S237" s="176"/>
      <c r="T237" s="173"/>
      <c r="U237" s="56"/>
    </row>
    <row r="238" customFormat="false" ht="20.1" hidden="false" customHeight="true" outlineLevel="0" collapsed="false">
      <c r="B238" s="56"/>
      <c r="C238" s="173"/>
      <c r="D238" s="173"/>
      <c r="E238" s="261" t="s">
        <v>44</v>
      </c>
      <c r="F238" s="262" t="s">
        <v>45</v>
      </c>
      <c r="G238" s="263" t="n">
        <v>2</v>
      </c>
      <c r="H238" s="263" t="s">
        <v>151</v>
      </c>
      <c r="I238" s="263" t="n">
        <v>0</v>
      </c>
      <c r="J238" s="263" t="n">
        <v>190</v>
      </c>
      <c r="K238" s="264" t="s">
        <v>62</v>
      </c>
      <c r="L238" s="265" t="n">
        <f aca="false">IF(J238="",0,(J238/J239)*100)</f>
        <v>100</v>
      </c>
      <c r="M238" s="263" t="n">
        <v>1</v>
      </c>
      <c r="N238" s="266" t="n">
        <v>6</v>
      </c>
      <c r="O238" s="136" t="n">
        <f aca="false">IF(M238=1,1,0)</f>
        <v>1</v>
      </c>
      <c r="P238" s="137" t="n">
        <f aca="false">IF(M238=2,1,0)</f>
        <v>0</v>
      </c>
      <c r="Q238" s="176"/>
      <c r="R238" s="176"/>
      <c r="S238" s="176"/>
      <c r="T238" s="173"/>
      <c r="U238" s="56"/>
    </row>
    <row r="239" customFormat="false" ht="20.1" hidden="true" customHeight="true" outlineLevel="1" collapsed="false">
      <c r="B239" s="56"/>
      <c r="C239" s="173"/>
      <c r="D239" s="173"/>
      <c r="E239" s="173"/>
      <c r="F239" s="178"/>
      <c r="G239" s="178"/>
      <c r="H239" s="173"/>
      <c r="I239" s="170" t="s">
        <v>94</v>
      </c>
      <c r="J239" s="141" t="n">
        <f aca="false">MAX(J237:J238)</f>
        <v>190</v>
      </c>
      <c r="K239" s="179"/>
      <c r="L239" s="176"/>
      <c r="M239" s="173"/>
      <c r="N239" s="144" t="s">
        <v>95</v>
      </c>
      <c r="O239" s="145" t="n">
        <f aca="false">SUM(O237:O238)</f>
        <v>1</v>
      </c>
      <c r="P239" s="158" t="n">
        <f aca="false">SUM(P237:P238)</f>
        <v>1</v>
      </c>
      <c r="Q239" s="180"/>
      <c r="R239" s="180"/>
      <c r="S239" s="180"/>
      <c r="T239" s="173"/>
      <c r="U239" s="56"/>
    </row>
    <row r="240" customFormat="false" ht="20.1" hidden="false" customHeight="true" outlineLevel="0" collapsed="false">
      <c r="B240" s="56"/>
      <c r="C240" s="173"/>
      <c r="D240" s="173"/>
      <c r="E240" s="173"/>
      <c r="F240" s="173"/>
      <c r="G240" s="173"/>
      <c r="H240" s="173"/>
      <c r="I240" s="173"/>
      <c r="J240" s="173"/>
      <c r="K240" s="173"/>
      <c r="L240" s="173"/>
      <c r="M240" s="173"/>
      <c r="N240" s="173"/>
      <c r="O240" s="173"/>
      <c r="P240" s="173"/>
      <c r="Q240" s="173"/>
      <c r="R240" s="173"/>
      <c r="S240" s="173"/>
      <c r="T240" s="173"/>
      <c r="U240" s="56"/>
    </row>
    <row r="241" customFormat="false" ht="20.1" hidden="false" customHeight="true" outlineLevel="0" collapsed="false">
      <c r="B241" s="56"/>
      <c r="D241" s="5"/>
      <c r="E241" s="5"/>
      <c r="F241" s="5"/>
      <c r="G241" s="5"/>
      <c r="H241" s="5"/>
      <c r="I241" s="5"/>
      <c r="J241" s="5"/>
      <c r="U241" s="56"/>
    </row>
    <row r="242" customFormat="false" ht="30" hidden="false" customHeight="true" outlineLevel="0" collapsed="false">
      <c r="B242" s="56"/>
      <c r="C242" s="181"/>
      <c r="D242" s="341"/>
      <c r="E242" s="182" t="s">
        <v>228</v>
      </c>
      <c r="F242" s="182"/>
      <c r="G242" s="182"/>
      <c r="H242" s="182"/>
      <c r="I242" s="182"/>
      <c r="J242" s="182"/>
      <c r="K242" s="182"/>
      <c r="L242" s="182"/>
      <c r="M242" s="182"/>
      <c r="N242" s="182"/>
      <c r="O242" s="341"/>
      <c r="P242" s="341"/>
      <c r="Q242" s="341"/>
      <c r="R242" s="341"/>
      <c r="S242" s="341"/>
      <c r="T242" s="181"/>
      <c r="U242" s="56"/>
    </row>
    <row r="243" customFormat="false" ht="50.1" hidden="false" customHeight="true" outlineLevel="0" collapsed="false">
      <c r="B243" s="56"/>
      <c r="C243" s="181"/>
      <c r="D243" s="181"/>
      <c r="E243" s="183" t="s">
        <v>48</v>
      </c>
      <c r="F243" s="184" t="s">
        <v>223</v>
      </c>
      <c r="G243" s="185" t="s">
        <v>88</v>
      </c>
      <c r="H243" s="186" t="s">
        <v>101</v>
      </c>
      <c r="I243" s="187" t="s">
        <v>102</v>
      </c>
      <c r="J243" s="187"/>
      <c r="K243" s="188" t="s">
        <v>103</v>
      </c>
      <c r="L243" s="189" t="s">
        <v>104</v>
      </c>
      <c r="M243" s="185" t="s">
        <v>105</v>
      </c>
      <c r="N243" s="184" t="s">
        <v>108</v>
      </c>
      <c r="O243" s="342"/>
      <c r="P243" s="343"/>
      <c r="Q243" s="343"/>
      <c r="R243" s="343"/>
      <c r="S243" s="342"/>
      <c r="T243" s="181"/>
      <c r="U243" s="56"/>
    </row>
    <row r="244" customFormat="false" ht="20.1" hidden="false" customHeight="true" outlineLevel="0" collapsed="false">
      <c r="B244" s="56"/>
      <c r="C244" s="181"/>
      <c r="D244" s="181"/>
      <c r="E244" s="192" t="s">
        <v>42</v>
      </c>
      <c r="F244" s="344" t="s">
        <v>43</v>
      </c>
      <c r="G244" s="269" t="n">
        <f aca="false">L244*6+M244*0</f>
        <v>18</v>
      </c>
      <c r="H244" s="270" t="n">
        <v>0</v>
      </c>
      <c r="I244" s="270" t="s">
        <v>62</v>
      </c>
      <c r="J244" s="270"/>
      <c r="K244" s="269" t="n">
        <f aca="false">G244+H244</f>
        <v>18</v>
      </c>
      <c r="L244" s="269" t="n">
        <v>3</v>
      </c>
      <c r="M244" s="269" t="n">
        <v>1</v>
      </c>
      <c r="N244" s="272" t="n">
        <f aca="false">(L216+L223+L230+L237)/4</f>
        <v>97.6315789473684</v>
      </c>
      <c r="O244" s="291"/>
      <c r="P244" s="289"/>
      <c r="Q244" s="289"/>
      <c r="R244" s="289"/>
      <c r="S244" s="292"/>
      <c r="T244" s="181"/>
      <c r="U244" s="56"/>
    </row>
    <row r="245" customFormat="false" ht="20.1" hidden="false" customHeight="true" outlineLevel="0" collapsed="false">
      <c r="B245" s="56"/>
      <c r="C245" s="181"/>
      <c r="D245" s="181"/>
      <c r="E245" s="282" t="s">
        <v>44</v>
      </c>
      <c r="F245" s="388" t="s">
        <v>45</v>
      </c>
      <c r="G245" s="284" t="n">
        <f aca="false">L245*6+M245*0</f>
        <v>6</v>
      </c>
      <c r="H245" s="285" t="n">
        <v>0</v>
      </c>
      <c r="I245" s="285" t="s">
        <v>62</v>
      </c>
      <c r="J245" s="285"/>
      <c r="K245" s="284" t="n">
        <f aca="false">G245+H245</f>
        <v>6</v>
      </c>
      <c r="L245" s="284" t="n">
        <v>1</v>
      </c>
      <c r="M245" s="284" t="n">
        <v>3</v>
      </c>
      <c r="N245" s="287" t="n">
        <f aca="false">(L217+L224+L231+L238)/4</f>
        <v>91.7419640404164</v>
      </c>
      <c r="O245" s="291"/>
      <c r="P245" s="289"/>
      <c r="Q245" s="289"/>
      <c r="R245" s="289"/>
      <c r="S245" s="292"/>
      <c r="T245" s="181"/>
      <c r="U245" s="56"/>
    </row>
    <row r="246" customFormat="false" ht="20.1" hidden="false" customHeight="true" outlineLevel="0" collapsed="false">
      <c r="B246" s="56"/>
      <c r="C246" s="181"/>
      <c r="D246" s="181"/>
      <c r="E246" s="181"/>
      <c r="F246" s="210"/>
      <c r="G246" s="210"/>
      <c r="H246" s="210"/>
      <c r="I246" s="210"/>
      <c r="J246" s="210"/>
      <c r="K246" s="210"/>
      <c r="L246" s="210"/>
      <c r="M246" s="210"/>
      <c r="N246" s="210"/>
      <c r="O246" s="210"/>
      <c r="P246" s="210"/>
      <c r="Q246" s="210"/>
      <c r="R246" s="210"/>
      <c r="S246" s="210"/>
      <c r="T246" s="181"/>
      <c r="U246" s="56"/>
    </row>
    <row r="247" customFormat="false" ht="20.1" hidden="false" customHeight="true" outlineLevel="0" collapsed="false">
      <c r="B247" s="56"/>
      <c r="C247" s="56"/>
      <c r="D247" s="213"/>
      <c r="E247" s="213"/>
      <c r="F247" s="164"/>
      <c r="G247" s="164"/>
      <c r="H247" s="213"/>
      <c r="I247" s="213"/>
      <c r="J247" s="213"/>
      <c r="K247" s="56"/>
      <c r="L247" s="56"/>
      <c r="M247" s="56"/>
      <c r="N247" s="56"/>
      <c r="O247" s="56"/>
      <c r="P247" s="56"/>
      <c r="Q247" s="56"/>
      <c r="R247" s="56"/>
      <c r="S247" s="56"/>
      <c r="T247" s="56"/>
      <c r="U247" s="56"/>
    </row>
  </sheetData>
  <mergeCells count="257">
    <mergeCell ref="A1:N2"/>
    <mergeCell ref="B4:H4"/>
    <mergeCell ref="J4:L4"/>
    <mergeCell ref="B5:C5"/>
    <mergeCell ref="B6:C6"/>
    <mergeCell ref="K6:K9"/>
    <mergeCell ref="B7:C7"/>
    <mergeCell ref="B8:C8"/>
    <mergeCell ref="B9:C9"/>
    <mergeCell ref="B10:C10"/>
    <mergeCell ref="K10:K13"/>
    <mergeCell ref="B11:C11"/>
    <mergeCell ref="B12:C12"/>
    <mergeCell ref="B13:C13"/>
    <mergeCell ref="B14:C14"/>
    <mergeCell ref="K14:K16"/>
    <mergeCell ref="B15:C15"/>
    <mergeCell ref="B16:C16"/>
    <mergeCell ref="B17:C17"/>
    <mergeCell ref="K17:K18"/>
    <mergeCell ref="B18:C18"/>
    <mergeCell ref="B20:G20"/>
    <mergeCell ref="B21:C21"/>
    <mergeCell ref="B22:C22"/>
    <mergeCell ref="C25:T25"/>
    <mergeCell ref="D27:D28"/>
    <mergeCell ref="E27:E28"/>
    <mergeCell ref="F27:F28"/>
    <mergeCell ref="G27:J27"/>
    <mergeCell ref="L27:S27"/>
    <mergeCell ref="I28:J28"/>
    <mergeCell ref="N28:S28"/>
    <mergeCell ref="D29:D30"/>
    <mergeCell ref="E29:E30"/>
    <mergeCell ref="F29:F30"/>
    <mergeCell ref="G29:G30"/>
    <mergeCell ref="H29:H30"/>
    <mergeCell ref="I29:J29"/>
    <mergeCell ref="K29:K30"/>
    <mergeCell ref="L29:L30"/>
    <mergeCell ref="M29:M30"/>
    <mergeCell ref="N29:S30"/>
    <mergeCell ref="I30:J30"/>
    <mergeCell ref="D31:D38"/>
    <mergeCell ref="E31:E38"/>
    <mergeCell ref="F31:F38"/>
    <mergeCell ref="G31:G38"/>
    <mergeCell ref="H31:H38"/>
    <mergeCell ref="I31:J31"/>
    <mergeCell ref="K31:K38"/>
    <mergeCell ref="L31:L38"/>
    <mergeCell ref="M31:M38"/>
    <mergeCell ref="N31:S38"/>
    <mergeCell ref="I32:J32"/>
    <mergeCell ref="I33:J33"/>
    <mergeCell ref="I34:J34"/>
    <mergeCell ref="I35:J35"/>
    <mergeCell ref="I36:J36"/>
    <mergeCell ref="I37:J37"/>
    <mergeCell ref="I38:J38"/>
    <mergeCell ref="D39:D42"/>
    <mergeCell ref="E39:E42"/>
    <mergeCell ref="F39:F42"/>
    <mergeCell ref="G39:G42"/>
    <mergeCell ref="H39:H42"/>
    <mergeCell ref="I39:J39"/>
    <mergeCell ref="K39:K42"/>
    <mergeCell ref="L39:L42"/>
    <mergeCell ref="M39:M42"/>
    <mergeCell ref="N39:S42"/>
    <mergeCell ref="I40:J40"/>
    <mergeCell ref="I41:J41"/>
    <mergeCell ref="I42:J42"/>
    <mergeCell ref="D43:D46"/>
    <mergeCell ref="E43:E46"/>
    <mergeCell ref="F43:F46"/>
    <mergeCell ref="G43:G46"/>
    <mergeCell ref="H43:H46"/>
    <mergeCell ref="I43:J43"/>
    <mergeCell ref="K43:K46"/>
    <mergeCell ref="L43:L46"/>
    <mergeCell ref="M43:M46"/>
    <mergeCell ref="N43:S46"/>
    <mergeCell ref="I44:J44"/>
    <mergeCell ref="I45:J45"/>
    <mergeCell ref="I46:J46"/>
    <mergeCell ref="E48:N48"/>
    <mergeCell ref="F54:G54"/>
    <mergeCell ref="F55:G55"/>
    <mergeCell ref="E57:N57"/>
    <mergeCell ref="F63:G63"/>
    <mergeCell ref="E66:N66"/>
    <mergeCell ref="F72:G72"/>
    <mergeCell ref="E75:N75"/>
    <mergeCell ref="F81:G81"/>
    <mergeCell ref="D84:S84"/>
    <mergeCell ref="H85:I85"/>
    <mergeCell ref="H86:I86"/>
    <mergeCell ref="H87:I87"/>
    <mergeCell ref="H88:I88"/>
    <mergeCell ref="H89:I89"/>
    <mergeCell ref="H90:I90"/>
    <mergeCell ref="C95:T95"/>
    <mergeCell ref="D97:D98"/>
    <mergeCell ref="E97:E98"/>
    <mergeCell ref="F97:F98"/>
    <mergeCell ref="G97:J97"/>
    <mergeCell ref="L97:S97"/>
    <mergeCell ref="I98:J98"/>
    <mergeCell ref="N98:S98"/>
    <mergeCell ref="D99:D100"/>
    <mergeCell ref="E99:E100"/>
    <mergeCell ref="F99:F100"/>
    <mergeCell ref="G99:G100"/>
    <mergeCell ref="H99:H100"/>
    <mergeCell ref="I99:J99"/>
    <mergeCell ref="K99:K100"/>
    <mergeCell ref="L99:L100"/>
    <mergeCell ref="M99:M100"/>
    <mergeCell ref="N99:S100"/>
    <mergeCell ref="I100:J100"/>
    <mergeCell ref="D101:D102"/>
    <mergeCell ref="E101:E102"/>
    <mergeCell ref="F101:F102"/>
    <mergeCell ref="G101:G102"/>
    <mergeCell ref="H101:H102"/>
    <mergeCell ref="I101:J101"/>
    <mergeCell ref="K101:K102"/>
    <mergeCell ref="L101:L102"/>
    <mergeCell ref="M101:M102"/>
    <mergeCell ref="N101:S102"/>
    <mergeCell ref="I102:J102"/>
    <mergeCell ref="D103:D104"/>
    <mergeCell ref="E103:E104"/>
    <mergeCell ref="F103:F104"/>
    <mergeCell ref="G103:G104"/>
    <mergeCell ref="H103:H104"/>
    <mergeCell ref="I103:J103"/>
    <mergeCell ref="K103:K104"/>
    <mergeCell ref="L103:L104"/>
    <mergeCell ref="M103:M104"/>
    <mergeCell ref="N103:S104"/>
    <mergeCell ref="I104:J104"/>
    <mergeCell ref="D105:D106"/>
    <mergeCell ref="E105:E106"/>
    <mergeCell ref="F105:F106"/>
    <mergeCell ref="G105:G106"/>
    <mergeCell ref="H105:H106"/>
    <mergeCell ref="I105:J105"/>
    <mergeCell ref="K105:K106"/>
    <mergeCell ref="L105:L106"/>
    <mergeCell ref="M105:M106"/>
    <mergeCell ref="N105:S106"/>
    <mergeCell ref="I106:J106"/>
    <mergeCell ref="E108:N108"/>
    <mergeCell ref="F114:G114"/>
    <mergeCell ref="E117:N117"/>
    <mergeCell ref="F123:G123"/>
    <mergeCell ref="E126:N126"/>
    <mergeCell ref="F132:G132"/>
    <mergeCell ref="E135:N135"/>
    <mergeCell ref="F141:G141"/>
    <mergeCell ref="D144:S144"/>
    <mergeCell ref="H145:I145"/>
    <mergeCell ref="H146:I146"/>
    <mergeCell ref="H147:I147"/>
    <mergeCell ref="Y147:Z147"/>
    <mergeCell ref="H148:I148"/>
    <mergeCell ref="H149:I149"/>
    <mergeCell ref="H150:I150"/>
    <mergeCell ref="C155:T155"/>
    <mergeCell ref="D157:D158"/>
    <mergeCell ref="E157:E158"/>
    <mergeCell ref="F157:F158"/>
    <mergeCell ref="G157:J157"/>
    <mergeCell ref="L157:S157"/>
    <mergeCell ref="I158:J158"/>
    <mergeCell ref="N158:S158"/>
    <mergeCell ref="D159:D160"/>
    <mergeCell ref="E159:E160"/>
    <mergeCell ref="F159:F160"/>
    <mergeCell ref="G159:G160"/>
    <mergeCell ref="H159:H160"/>
    <mergeCell ref="I159:J159"/>
    <mergeCell ref="K159:K160"/>
    <mergeCell ref="L159:L160"/>
    <mergeCell ref="M159:M160"/>
    <mergeCell ref="N159:S160"/>
    <mergeCell ref="I160:J160"/>
    <mergeCell ref="D161:D164"/>
    <mergeCell ref="E161:E164"/>
    <mergeCell ref="F161:F164"/>
    <mergeCell ref="G161:G164"/>
    <mergeCell ref="H161:H164"/>
    <mergeCell ref="I161:J161"/>
    <mergeCell ref="K161:K164"/>
    <mergeCell ref="L161:L164"/>
    <mergeCell ref="M161:M164"/>
    <mergeCell ref="N161:S164"/>
    <mergeCell ref="I162:J162"/>
    <mergeCell ref="I163:J163"/>
    <mergeCell ref="I164:J164"/>
    <mergeCell ref="I165:J165"/>
    <mergeCell ref="N165:S165"/>
    <mergeCell ref="E167:N167"/>
    <mergeCell ref="F172:G172"/>
    <mergeCell ref="E175:N175"/>
    <mergeCell ref="F180:G180"/>
    <mergeCell ref="E183:N183"/>
    <mergeCell ref="F188:G188"/>
    <mergeCell ref="D191:N191"/>
    <mergeCell ref="H192:I192"/>
    <mergeCell ref="H193:I193"/>
    <mergeCell ref="H194:I194"/>
    <mergeCell ref="H195:I195"/>
    <mergeCell ref="C201:T201"/>
    <mergeCell ref="D203:D204"/>
    <mergeCell ref="E203:E204"/>
    <mergeCell ref="F203:F204"/>
    <mergeCell ref="G203:J203"/>
    <mergeCell ref="L203:S203"/>
    <mergeCell ref="I204:J204"/>
    <mergeCell ref="N204:S204"/>
    <mergeCell ref="I205:J205"/>
    <mergeCell ref="N205:S205"/>
    <mergeCell ref="I206:J206"/>
    <mergeCell ref="N206:S206"/>
    <mergeCell ref="D207:D209"/>
    <mergeCell ref="E207:E209"/>
    <mergeCell ref="F207:F209"/>
    <mergeCell ref="G207:G209"/>
    <mergeCell ref="H207:H209"/>
    <mergeCell ref="I207:J207"/>
    <mergeCell ref="N207:S207"/>
    <mergeCell ref="I208:J208"/>
    <mergeCell ref="I209:J209"/>
    <mergeCell ref="D210:D212"/>
    <mergeCell ref="E210:E212"/>
    <mergeCell ref="F210:F212"/>
    <mergeCell ref="G210:G212"/>
    <mergeCell ref="H210:H212"/>
    <mergeCell ref="I210:J210"/>
    <mergeCell ref="N210:S210"/>
    <mergeCell ref="I211:J211"/>
    <mergeCell ref="I212:J212"/>
    <mergeCell ref="E214:N214"/>
    <mergeCell ref="F218:G218"/>
    <mergeCell ref="E221:N221"/>
    <mergeCell ref="F225:G225"/>
    <mergeCell ref="E228:N228"/>
    <mergeCell ref="F232:G232"/>
    <mergeCell ref="E235:N235"/>
    <mergeCell ref="F239:G239"/>
    <mergeCell ref="E242:N242"/>
    <mergeCell ref="I243:J243"/>
    <mergeCell ref="I244:J244"/>
    <mergeCell ref="I245:J245"/>
  </mergeCells>
  <conditionalFormatting sqref="B18:C18 D22:G22 B6:H16 D19:H19 B17 H17:H18">
    <cfRule type="expression" priority="2" aboveAverage="0" equalAverage="0" bottom="0" percent="0" rank="0" text="" dxfId="56">
      <formula>$H6="Nein"</formula>
    </cfRule>
    <cfRule type="expression" priority="3" aboveAverage="0" equalAverage="0" bottom="0" percent="0" rank="0" text="" dxfId="57">
      <formula>$H6="Ja"</formula>
    </cfRule>
  </conditionalFormatting>
  <conditionalFormatting sqref="D90:E90">
    <cfRule type="expression" priority="4" aboveAverage="0" equalAverage="0" bottom="0" percent="0" rank="0" text="" dxfId="58">
      <formula>$I90="Nein"</formula>
    </cfRule>
    <cfRule type="expression" priority="5" aboveAverage="0" equalAverage="0" bottom="0" percent="0" rank="0" text="" dxfId="59">
      <formula>$I90="Ja"</formula>
    </cfRule>
  </conditionalFormatting>
  <conditionalFormatting sqref="D150:E150">
    <cfRule type="expression" priority="6" aboveAverage="0" equalAverage="0" bottom="0" percent="0" rank="0" text="" dxfId="60">
      <formula>$I150="Nein"</formula>
    </cfRule>
    <cfRule type="expression" priority="7" aboveAverage="0" equalAverage="0" bottom="0" percent="0" rank="0" text="" dxfId="61">
      <formula>$I150="Ja"</formula>
    </cfRule>
  </conditionalFormatting>
  <conditionalFormatting sqref="D86:E86">
    <cfRule type="expression" priority="8" aboveAverage="0" equalAverage="0" bottom="0" percent="0" rank="0" text="" dxfId="62">
      <formula>$H86="Nein"</formula>
    </cfRule>
    <cfRule type="expression" priority="9" aboveAverage="0" equalAverage="0" bottom="0" percent="0" rank="0" text="" dxfId="63">
      <formula>$H86="Ja"</formula>
    </cfRule>
  </conditionalFormatting>
  <conditionalFormatting sqref="D87:E87">
    <cfRule type="expression" priority="10" aboveAverage="0" equalAverage="0" bottom="0" percent="0" rank="0" text="" dxfId="64">
      <formula>$H87="Nein"</formula>
    </cfRule>
    <cfRule type="expression" priority="11" aboveAverage="0" equalAverage="0" bottom="0" percent="0" rank="0" text="" dxfId="65">
      <formula>$H87="Ja"</formula>
    </cfRule>
  </conditionalFormatting>
  <conditionalFormatting sqref="D89:E89">
    <cfRule type="expression" priority="12" aboveAverage="0" equalAverage="0" bottom="0" percent="0" rank="0" text="" dxfId="66">
      <formula>$H89="Nein"</formula>
    </cfRule>
    <cfRule type="expression" priority="13" aboveAverage="0" equalAverage="0" bottom="0" percent="0" rank="0" text="" dxfId="67">
      <formula>$H89="Ja"</formula>
    </cfRule>
  </conditionalFormatting>
  <conditionalFormatting sqref="D88:E88">
    <cfRule type="expression" priority="14" aboveAverage="0" equalAverage="0" bottom="0" percent="0" rank="0" text="" dxfId="68">
      <formula>$H88="Nein"</formula>
    </cfRule>
    <cfRule type="expression" priority="15" aboveAverage="0" equalAverage="0" bottom="0" percent="0" rank="0" text="" dxfId="69">
      <formula>$H88="Ja"</formula>
    </cfRule>
  </conditionalFormatting>
  <conditionalFormatting sqref="D146:E146">
    <cfRule type="expression" priority="16" aboveAverage="0" equalAverage="0" bottom="0" percent="0" rank="0" text="" dxfId="70">
      <formula>$H146="Nein"</formula>
    </cfRule>
    <cfRule type="expression" priority="17" aboveAverage="0" equalAverage="0" bottom="0" percent="0" rank="0" text="" dxfId="71">
      <formula>$H146="Ja"</formula>
    </cfRule>
  </conditionalFormatting>
  <conditionalFormatting sqref="D147:E147">
    <cfRule type="expression" priority="18" aboveAverage="0" equalAverage="0" bottom="0" percent="0" rank="0" text="" dxfId="72">
      <formula>$H147="Nein"</formula>
    </cfRule>
    <cfRule type="expression" priority="19" aboveAverage="0" equalAverage="0" bottom="0" percent="0" rank="0" text="" dxfId="73">
      <formula>$H147="Ja"</formula>
    </cfRule>
  </conditionalFormatting>
  <conditionalFormatting sqref="D149:E149">
    <cfRule type="expression" priority="20" aboveAverage="0" equalAverage="0" bottom="0" percent="0" rank="0" text="" dxfId="74">
      <formula>$H149="Nein"</formula>
    </cfRule>
    <cfRule type="expression" priority="21" aboveAverage="0" equalAverage="0" bottom="0" percent="0" rank="0" text="" dxfId="75">
      <formula>$H149="Ja"</formula>
    </cfRule>
  </conditionalFormatting>
  <conditionalFormatting sqref="D148:E148">
    <cfRule type="expression" priority="22" aboveAverage="0" equalAverage="0" bottom="0" percent="0" rank="0" text="" dxfId="76">
      <formula>$H148="Nein"</formula>
    </cfRule>
    <cfRule type="expression" priority="23" aboveAverage="0" equalAverage="0" bottom="0" percent="0" rank="0" text="" dxfId="77">
      <formula>$H148="Ja"</formula>
    </cfRule>
  </conditionalFormatting>
  <conditionalFormatting sqref="D17:G17">
    <cfRule type="expression" priority="24" aboveAverage="0" equalAverage="0" bottom="0" percent="0" rank="0" text="" dxfId="78">
      <formula>$H17="Nein"</formula>
    </cfRule>
    <cfRule type="expression" priority="25" aboveAverage="0" equalAverage="0" bottom="0" percent="0" rank="0" text="" dxfId="79">
      <formula>$H17="Ja"</formula>
    </cfRule>
  </conditionalFormatting>
  <conditionalFormatting sqref="D18:G18">
    <cfRule type="expression" priority="26" aboveAverage="0" equalAverage="0" bottom="0" percent="0" rank="0" text="" dxfId="80">
      <formula>$H18="Nein"</formula>
    </cfRule>
    <cfRule type="expression" priority="27" aboveAverage="0" equalAverage="0" bottom="0" percent="0" rank="0" text="" dxfId="81">
      <formula>$H18="Ja"</formula>
    </cfRule>
  </conditionalFormatting>
  <conditionalFormatting sqref="E50:F53">
    <cfRule type="expression" priority="28" aboveAverage="0" equalAverage="0" bottom="0" percent="0" rank="0" text="" dxfId="82">
      <formula>$H50="Nein"</formula>
    </cfRule>
    <cfRule type="expression" priority="29" aboveAverage="0" equalAverage="0" bottom="0" percent="0" rank="0" text="" dxfId="83">
      <formula>$H50="Ja"</formula>
    </cfRule>
  </conditionalFormatting>
  <conditionalFormatting sqref="E59:F62">
    <cfRule type="expression" priority="30" aboveAverage="0" equalAverage="0" bottom="0" percent="0" rank="0" text="" dxfId="84">
      <formula>$H59="Nein"</formula>
    </cfRule>
    <cfRule type="expression" priority="31" aboveAverage="0" equalAverage="0" bottom="0" percent="0" rank="0" text="" dxfId="85">
      <formula>$H59="Ja"</formula>
    </cfRule>
  </conditionalFormatting>
  <conditionalFormatting sqref="E68:F71">
    <cfRule type="expression" priority="32" aboveAverage="0" equalAverage="0" bottom="0" percent="0" rank="0" text="" dxfId="86">
      <formula>$H68="Nein"</formula>
    </cfRule>
    <cfRule type="expression" priority="33" aboveAverage="0" equalAverage="0" bottom="0" percent="0" rank="0" text="" dxfId="87">
      <formula>$H68="Ja"</formula>
    </cfRule>
  </conditionalFormatting>
  <conditionalFormatting sqref="E77:F80">
    <cfRule type="expression" priority="34" aboveAverage="0" equalAverage="0" bottom="0" percent="0" rank="0" text="" dxfId="88">
      <formula>$H77="Nein"</formula>
    </cfRule>
    <cfRule type="expression" priority="35" aboveAverage="0" equalAverage="0" bottom="0" percent="0" rank="0" text="" dxfId="89">
      <formula>$H77="Ja"</formula>
    </cfRule>
  </conditionalFormatting>
  <conditionalFormatting sqref="E110:F113">
    <cfRule type="expression" priority="36" aboveAverage="0" equalAverage="0" bottom="0" percent="0" rank="0" text="" dxfId="90">
      <formula>$H110="Nein"</formula>
    </cfRule>
    <cfRule type="expression" priority="37" aboveAverage="0" equalAverage="0" bottom="0" percent="0" rank="0" text="" dxfId="91">
      <formula>$H110="Ja"</formula>
    </cfRule>
  </conditionalFormatting>
  <conditionalFormatting sqref="E119:F122">
    <cfRule type="expression" priority="38" aboveAverage="0" equalAverage="0" bottom="0" percent="0" rank="0" text="" dxfId="92">
      <formula>$H119="Nein"</formula>
    </cfRule>
    <cfRule type="expression" priority="39" aboveAverage="0" equalAverage="0" bottom="0" percent="0" rank="0" text="" dxfId="93">
      <formula>$H119="Ja"</formula>
    </cfRule>
  </conditionalFormatting>
  <conditionalFormatting sqref="E128:F131">
    <cfRule type="expression" priority="40" aboveAverage="0" equalAverage="0" bottom="0" percent="0" rank="0" text="" dxfId="94">
      <formula>$H128="Nein"</formula>
    </cfRule>
    <cfRule type="expression" priority="41" aboveAverage="0" equalAverage="0" bottom="0" percent="0" rank="0" text="" dxfId="95">
      <formula>$H128="Ja"</formula>
    </cfRule>
  </conditionalFormatting>
  <conditionalFormatting sqref="E137:F140">
    <cfRule type="expression" priority="42" aboveAverage="0" equalAverage="0" bottom="0" percent="0" rank="0" text="" dxfId="96">
      <formula>$H137="Nein"</formula>
    </cfRule>
    <cfRule type="expression" priority="43" aboveAverage="0" equalAverage="0" bottom="0" percent="0" rank="0" text="" dxfId="97">
      <formula>$H137="Ja"</formula>
    </cfRule>
  </conditionalFormatting>
  <conditionalFormatting sqref="D161:E161 D165:E165 D205:E205">
    <cfRule type="expression" priority="44" aboveAverage="0" equalAverage="0" bottom="0" percent="0" rank="0" text="" dxfId="98">
      <formula>$J161="Ja"</formula>
    </cfRule>
    <cfRule type="expression" priority="45" aboveAverage="0" equalAverage="0" bottom="0" percent="0" rank="0" text="" dxfId="99">
      <formula>$J161="Nein"</formula>
    </cfRule>
  </conditionalFormatting>
  <conditionalFormatting sqref="D159:E159">
    <cfRule type="expression" priority="46" aboveAverage="0" equalAverage="0" bottom="0" percent="0" rank="0" text="" dxfId="100">
      <formula>$J159="Ja"</formula>
    </cfRule>
    <cfRule type="expression" priority="47" aboveAverage="0" equalAverage="0" bottom="0" percent="0" rank="0" text="" dxfId="101">
      <formula>$J159="Nein"</formula>
    </cfRule>
  </conditionalFormatting>
  <conditionalFormatting sqref="E244:F244">
    <cfRule type="expression" priority="48" aboveAverage="0" equalAverage="0" bottom="0" percent="0" rank="0" text="" dxfId="102">
      <formula>$J244="Ja"</formula>
    </cfRule>
    <cfRule type="expression" priority="49" aboveAverage="0" equalAverage="0" bottom="0" percent="0" rank="0" text="" dxfId="103">
      <formula>$J244="Nein"</formula>
    </cfRule>
  </conditionalFormatting>
  <conditionalFormatting sqref="E245:F245">
    <cfRule type="expression" priority="50" aboveAverage="0" equalAverage="0" bottom="0" percent="0" rank="0" text="" dxfId="104">
      <formula>$J245="Ja"</formula>
    </cfRule>
    <cfRule type="expression" priority="51" aboveAverage="0" equalAverage="0" bottom="0" percent="0" rank="0" text="" dxfId="105">
      <formula>$J245="Nein"</formula>
    </cfRule>
  </conditionalFormatting>
  <conditionalFormatting sqref="D193:E193">
    <cfRule type="expression" priority="52" aboveAverage="0" equalAverage="0" bottom="0" percent="0" rank="0" text="" dxfId="106">
      <formula>$J193="Ja"</formula>
    </cfRule>
    <cfRule type="expression" priority="53" aboveAverage="0" equalAverage="0" bottom="0" percent="0" rank="0" text="" dxfId="107">
      <formula>$J193="Nein"</formula>
    </cfRule>
  </conditionalFormatting>
  <conditionalFormatting sqref="D194:E194">
    <cfRule type="expression" priority="54" aboveAverage="0" equalAverage="0" bottom="0" percent="0" rank="0" text="" dxfId="108">
      <formula>$J194="Ja"</formula>
    </cfRule>
    <cfRule type="expression" priority="55" aboveAverage="0" equalAverage="0" bottom="0" percent="0" rank="0" text="" dxfId="109">
      <formula>$J194="Nein"</formula>
    </cfRule>
  </conditionalFormatting>
  <conditionalFormatting sqref="D195:E195">
    <cfRule type="expression" priority="56" aboveAverage="0" equalAverage="0" bottom="0" percent="0" rank="0" text="" dxfId="110">
      <formula>$J195="Ja"</formula>
    </cfRule>
    <cfRule type="expression" priority="57" aboveAverage="0" equalAverage="0" bottom="0" percent="0" rank="0" text="" dxfId="111">
      <formula>$J195="Nein"</formula>
    </cfRule>
  </conditionalFormatting>
  <conditionalFormatting sqref="E169:F171">
    <cfRule type="expression" priority="58" aboveAverage="0" equalAverage="0" bottom="0" percent="0" rank="0" text="" dxfId="112">
      <formula>$H169="Nein"</formula>
    </cfRule>
    <cfRule type="expression" priority="59" aboveAverage="0" equalAverage="0" bottom="0" percent="0" rank="0" text="" dxfId="113">
      <formula>$H169="Ja"</formula>
    </cfRule>
  </conditionalFormatting>
  <conditionalFormatting sqref="E177:F179">
    <cfRule type="expression" priority="60" aboveAverage="0" equalAverage="0" bottom="0" percent="0" rank="0" text="" dxfId="114">
      <formula>$H177="Nein"</formula>
    </cfRule>
    <cfRule type="expression" priority="61" aboveAverage="0" equalAverage="0" bottom="0" percent="0" rank="0" text="" dxfId="115">
      <formula>$H177="Ja"</formula>
    </cfRule>
  </conditionalFormatting>
  <conditionalFormatting sqref="E185:F187">
    <cfRule type="expression" priority="62" aboveAverage="0" equalAverage="0" bottom="0" percent="0" rank="0" text="" dxfId="116">
      <formula>$H185="Nein"</formula>
    </cfRule>
    <cfRule type="expression" priority="63" aboveAverage="0" equalAverage="0" bottom="0" percent="0" rank="0" text="" dxfId="117">
      <formula>$H185="Ja"</formula>
    </cfRule>
  </conditionalFormatting>
  <conditionalFormatting sqref="E216:F216">
    <cfRule type="expression" priority="64" aboveAverage="0" equalAverage="0" bottom="0" percent="0" rank="0" text="" dxfId="118">
      <formula>$H216="Nein"</formula>
    </cfRule>
    <cfRule type="expression" priority="65" aboveAverage="0" equalAverage="0" bottom="0" percent="0" rank="0" text="" dxfId="119">
      <formula>$H216="Ja"</formula>
    </cfRule>
  </conditionalFormatting>
  <conditionalFormatting sqref="E217:F217">
    <cfRule type="expression" priority="66" aboveAverage="0" equalAverage="0" bottom="0" percent="0" rank="0" text="" dxfId="120">
      <formula>$H217="Nein"</formula>
    </cfRule>
    <cfRule type="expression" priority="67" aboveAverage="0" equalAverage="0" bottom="0" percent="0" rank="0" text="" dxfId="121">
      <formula>$H217="Ja"</formula>
    </cfRule>
  </conditionalFormatting>
  <conditionalFormatting sqref="E223:F223">
    <cfRule type="expression" priority="68" aboveAverage="0" equalAverage="0" bottom="0" percent="0" rank="0" text="" dxfId="122">
      <formula>$H223="Nein"</formula>
    </cfRule>
    <cfRule type="expression" priority="69" aboveAverage="0" equalAverage="0" bottom="0" percent="0" rank="0" text="" dxfId="123">
      <formula>$H223="Ja"</formula>
    </cfRule>
  </conditionalFormatting>
  <conditionalFormatting sqref="E224:F224">
    <cfRule type="expression" priority="70" aboveAverage="0" equalAverage="0" bottom="0" percent="0" rank="0" text="" dxfId="124">
      <formula>$H224="Nein"</formula>
    </cfRule>
    <cfRule type="expression" priority="71" aboveAverage="0" equalAverage="0" bottom="0" percent="0" rank="0" text="" dxfId="125">
      <formula>$H224="Ja"</formula>
    </cfRule>
  </conditionalFormatting>
  <conditionalFormatting sqref="E230:F230">
    <cfRule type="expression" priority="72" aboveAverage="0" equalAverage="0" bottom="0" percent="0" rank="0" text="" dxfId="126">
      <formula>$H230="Nein"</formula>
    </cfRule>
    <cfRule type="expression" priority="73" aboveAverage="0" equalAverage="0" bottom="0" percent="0" rank="0" text="" dxfId="127">
      <formula>$H230="Ja"</formula>
    </cfRule>
  </conditionalFormatting>
  <conditionalFormatting sqref="E231:F231">
    <cfRule type="expression" priority="74" aboveAverage="0" equalAverage="0" bottom="0" percent="0" rank="0" text="" dxfId="128">
      <formula>$H231="Nein"</formula>
    </cfRule>
    <cfRule type="expression" priority="75" aboveAverage="0" equalAverage="0" bottom="0" percent="0" rank="0" text="" dxfId="129">
      <formula>$H231="Ja"</formula>
    </cfRule>
  </conditionalFormatting>
  <conditionalFormatting sqref="E237:F237">
    <cfRule type="expression" priority="76" aboveAverage="0" equalAverage="0" bottom="0" percent="0" rank="0" text="" dxfId="130">
      <formula>$H237="Nein"</formula>
    </cfRule>
    <cfRule type="expression" priority="77" aboveAverage="0" equalAverage="0" bottom="0" percent="0" rank="0" text="" dxfId="131">
      <formula>$H237="Ja"</formula>
    </cfRule>
  </conditionalFormatting>
  <conditionalFormatting sqref="E238:F238">
    <cfRule type="expression" priority="78" aboveAverage="0" equalAverage="0" bottom="0" percent="0" rank="0" text="" dxfId="132">
      <formula>$H238="Nein"</formula>
    </cfRule>
    <cfRule type="expression" priority="79" aboveAverage="0" equalAverage="0" bottom="0" percent="0" rank="0" text="" dxfId="133">
      <formula>$H238="Ja"</formula>
    </cfRule>
  </conditionalFormatting>
  <dataValidations count="1">
    <dataValidation allowBlank="true" operator="between" showDropDown="false" showErrorMessage="true" showInputMessage="true" sqref="H6:H19"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236"/>
  <sheetViews>
    <sheetView showFormulas="false" showGridLines="false" showRowColHeaders="true" showZeros="true" rightToLeft="false" tabSelected="false" showOutlineSymbols="true" defaultGridColor="true" view="normal" topLeftCell="B35" colorId="64" zoomScale="100" zoomScaleNormal="100" zoomScalePageLayoutView="100" workbookViewId="0">
      <selection pane="topLeft" activeCell="I49" activeCellId="0" sqref="I49"/>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6"/>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2" t="s">
        <v>229</v>
      </c>
      <c r="B1" s="2"/>
      <c r="C1" s="2"/>
      <c r="D1" s="2"/>
      <c r="E1" s="2"/>
      <c r="F1" s="2"/>
      <c r="G1" s="2"/>
      <c r="H1" s="2"/>
      <c r="I1" s="2"/>
      <c r="J1" s="2"/>
      <c r="K1" s="2"/>
      <c r="L1" s="2"/>
      <c r="M1" s="2"/>
      <c r="N1" s="2"/>
    </row>
    <row r="2" customFormat="false" ht="15" hidden="false" customHeight="false" outlineLevel="0" collapsed="false">
      <c r="A2" s="2"/>
      <c r="B2" s="2"/>
      <c r="C2" s="2"/>
      <c r="D2" s="2"/>
      <c r="E2" s="2"/>
      <c r="F2" s="2"/>
      <c r="G2" s="2"/>
      <c r="H2" s="2"/>
      <c r="I2" s="2"/>
      <c r="J2" s="2"/>
      <c r="K2" s="2"/>
      <c r="L2" s="2"/>
      <c r="M2" s="2"/>
      <c r="N2" s="2"/>
    </row>
    <row r="3" customFormat="false" ht="20.1" hidden="false" customHeight="true" outlineLevel="0" collapsed="false"/>
    <row r="4" customFormat="false" ht="15.75" hidden="false" customHeight="false" outlineLevel="0" collapsed="false">
      <c r="B4" s="3" t="s">
        <v>230</v>
      </c>
      <c r="C4" s="3"/>
      <c r="D4" s="3"/>
      <c r="E4" s="3"/>
      <c r="F4" s="3"/>
      <c r="G4" s="3"/>
      <c r="H4" s="3"/>
      <c r="J4" s="3" t="s">
        <v>2</v>
      </c>
      <c r="K4" s="3"/>
      <c r="L4" s="3"/>
      <c r="O4" s="4"/>
      <c r="P4" s="4"/>
      <c r="Q4" s="4"/>
      <c r="R4" s="5"/>
      <c r="S4" s="4"/>
      <c r="T4" s="4"/>
      <c r="U4" s="4"/>
      <c r="V4" s="4"/>
    </row>
    <row r="5" customFormat="false" ht="50.1" hidden="false" customHeight="true" outlineLevel="0" collapsed="false">
      <c r="B5" s="6" t="s">
        <v>231</v>
      </c>
      <c r="C5" s="6"/>
      <c r="D5" s="7" t="s">
        <v>4</v>
      </c>
      <c r="E5" s="8" t="s">
        <v>5</v>
      </c>
      <c r="F5" s="8" t="s">
        <v>6</v>
      </c>
      <c r="G5" s="9" t="s">
        <v>7</v>
      </c>
      <c r="H5" s="8" t="s">
        <v>232</v>
      </c>
      <c r="J5" s="10" t="s">
        <v>4</v>
      </c>
      <c r="K5" s="11" t="s">
        <v>9</v>
      </c>
      <c r="L5" s="12" t="s">
        <v>10</v>
      </c>
      <c r="O5" s="5"/>
      <c r="Q5" s="4"/>
      <c r="R5" s="4"/>
      <c r="S5" s="4"/>
      <c r="T5" s="5"/>
      <c r="U5" s="5"/>
    </row>
    <row r="6" customFormat="false" ht="20.1" hidden="false" customHeight="true" outlineLevel="0" collapsed="false">
      <c r="B6" s="13" t="n">
        <v>1</v>
      </c>
      <c r="C6" s="13"/>
      <c r="D6" s="16" t="s">
        <v>17</v>
      </c>
      <c r="E6" s="16" t="s">
        <v>18</v>
      </c>
      <c r="F6" s="16" t="s">
        <v>19</v>
      </c>
      <c r="G6" s="16" t="s">
        <v>19</v>
      </c>
      <c r="H6" s="17" t="s">
        <v>14</v>
      </c>
      <c r="J6" s="18" t="str">
        <f aca="false">D6</f>
        <v>Judith Fulterer</v>
      </c>
      <c r="K6" s="19" t="n">
        <v>1</v>
      </c>
      <c r="L6" s="20" t="n">
        <v>1</v>
      </c>
      <c r="O6" s="21"/>
      <c r="T6" s="21"/>
      <c r="U6" s="21"/>
    </row>
    <row r="7" customFormat="false" ht="20.1" hidden="false" customHeight="true" outlineLevel="0" collapsed="false">
      <c r="B7" s="22" t="n">
        <v>2</v>
      </c>
      <c r="C7" s="22"/>
      <c r="D7" s="29" t="s">
        <v>11</v>
      </c>
      <c r="E7" s="29" t="s">
        <v>12</v>
      </c>
      <c r="F7" s="32" t="s">
        <v>12</v>
      </c>
      <c r="G7" s="23" t="s">
        <v>12</v>
      </c>
      <c r="H7" s="24" t="s">
        <v>14</v>
      </c>
      <c r="J7" s="25" t="str">
        <f aca="false">D7</f>
        <v>Bea Kittner</v>
      </c>
      <c r="K7" s="19"/>
      <c r="L7" s="26" t="n">
        <v>2</v>
      </c>
      <c r="O7" s="21"/>
      <c r="T7" s="21"/>
      <c r="U7" s="21"/>
    </row>
    <row r="8" customFormat="false" ht="20.1" hidden="false" customHeight="true" outlineLevel="0" collapsed="false">
      <c r="B8" s="22" t="n">
        <v>3</v>
      </c>
      <c r="C8" s="22"/>
      <c r="D8" s="29" t="s">
        <v>22</v>
      </c>
      <c r="E8" s="23" t="s">
        <v>23</v>
      </c>
      <c r="F8" s="30" t="s">
        <v>23</v>
      </c>
      <c r="G8" s="23" t="s">
        <v>23</v>
      </c>
      <c r="H8" s="24" t="s">
        <v>32</v>
      </c>
      <c r="J8" s="25" t="str">
        <f aca="false">D8</f>
        <v>Pauline Micke</v>
      </c>
      <c r="K8" s="19"/>
      <c r="L8" s="26" t="n">
        <v>3</v>
      </c>
      <c r="O8" s="21"/>
      <c r="T8" s="21"/>
      <c r="U8" s="21"/>
    </row>
    <row r="9" customFormat="false" ht="20.1" hidden="false" customHeight="true" outlineLevel="0" collapsed="false">
      <c r="B9" s="22" t="n">
        <v>4</v>
      </c>
      <c r="C9" s="22"/>
      <c r="D9" s="33" t="s">
        <v>37</v>
      </c>
      <c r="E9" s="29" t="s">
        <v>38</v>
      </c>
      <c r="F9" s="32" t="s">
        <v>38</v>
      </c>
      <c r="G9" s="34" t="s">
        <v>38</v>
      </c>
      <c r="H9" s="24" t="s">
        <v>14</v>
      </c>
      <c r="J9" s="27" t="str">
        <f aca="false">D9</f>
        <v>Marc Lambrecht</v>
      </c>
      <c r="K9" s="19"/>
      <c r="L9" s="28" t="n">
        <v>4</v>
      </c>
      <c r="O9" s="21"/>
      <c r="T9" s="21"/>
      <c r="U9" s="21"/>
    </row>
    <row r="10" customFormat="false" ht="20.1" hidden="false" customHeight="true" outlineLevel="0" collapsed="false">
      <c r="B10" s="22" t="n">
        <v>5</v>
      </c>
      <c r="C10" s="22"/>
      <c r="D10" s="23" t="s">
        <v>15</v>
      </c>
      <c r="E10" s="23" t="s">
        <v>16</v>
      </c>
      <c r="F10" s="23" t="s">
        <v>16</v>
      </c>
      <c r="G10" s="23" t="s">
        <v>16</v>
      </c>
      <c r="H10" s="24" t="s">
        <v>14</v>
      </c>
      <c r="J10" s="18" t="str">
        <f aca="false">D10</f>
        <v>Devid Fulterer</v>
      </c>
      <c r="K10" s="19" t="n">
        <v>2</v>
      </c>
      <c r="L10" s="20" t="n">
        <v>1</v>
      </c>
      <c r="O10" s="21"/>
      <c r="T10" s="21"/>
      <c r="U10" s="21"/>
    </row>
    <row r="11" customFormat="false" ht="20.1" hidden="false" customHeight="true" outlineLevel="0" collapsed="false">
      <c r="B11" s="22" t="n">
        <v>6</v>
      </c>
      <c r="C11" s="22"/>
      <c r="D11" s="23" t="s">
        <v>20</v>
      </c>
      <c r="E11" s="23" t="s">
        <v>21</v>
      </c>
      <c r="F11" s="23" t="s">
        <v>21</v>
      </c>
      <c r="G11" s="23" t="s">
        <v>21</v>
      </c>
      <c r="H11" s="24" t="s">
        <v>14</v>
      </c>
      <c r="J11" s="25" t="str">
        <f aca="false">D11</f>
        <v>Andreas Micke</v>
      </c>
      <c r="K11" s="19"/>
      <c r="L11" s="26" t="n">
        <v>2</v>
      </c>
      <c r="O11" s="21"/>
      <c r="T11" s="21"/>
      <c r="U11" s="21"/>
    </row>
    <row r="12" customFormat="false" ht="20.1" hidden="false" customHeight="true" outlineLevel="0" collapsed="false">
      <c r="B12" s="22" t="n">
        <v>7</v>
      </c>
      <c r="C12" s="22"/>
      <c r="D12" s="29" t="s">
        <v>26</v>
      </c>
      <c r="E12" s="29" t="s">
        <v>27</v>
      </c>
      <c r="F12" s="32" t="s">
        <v>27</v>
      </c>
      <c r="G12" s="23" t="s">
        <v>27</v>
      </c>
      <c r="H12" s="24" t="s">
        <v>14</v>
      </c>
      <c r="J12" s="25" t="str">
        <f aca="false">D12</f>
        <v>Markus Hagenauer</v>
      </c>
      <c r="K12" s="19"/>
      <c r="L12" s="26" t="n">
        <v>3</v>
      </c>
      <c r="O12" s="21"/>
      <c r="T12" s="21"/>
      <c r="U12" s="21"/>
    </row>
    <row r="13" customFormat="false" ht="20.1" hidden="false" customHeight="true" outlineLevel="0" collapsed="false">
      <c r="B13" s="22" t="n">
        <v>8</v>
      </c>
      <c r="C13" s="22"/>
      <c r="D13" s="29" t="s">
        <v>33</v>
      </c>
      <c r="E13" s="29" t="s">
        <v>34</v>
      </c>
      <c r="F13" s="32" t="s">
        <v>34</v>
      </c>
      <c r="G13" s="23" t="s">
        <v>34</v>
      </c>
      <c r="H13" s="24" t="s">
        <v>14</v>
      </c>
      <c r="J13" s="27" t="str">
        <f aca="false">D13</f>
        <v>Kai Maibaum</v>
      </c>
      <c r="K13" s="19"/>
      <c r="L13" s="28" t="n">
        <v>4</v>
      </c>
      <c r="O13" s="21"/>
      <c r="T13" s="21"/>
      <c r="U13" s="21"/>
    </row>
    <row r="14" customFormat="false" ht="20.1" hidden="false" customHeight="true" outlineLevel="0" collapsed="false">
      <c r="B14" s="22" t="n">
        <v>9</v>
      </c>
      <c r="C14" s="22"/>
      <c r="D14" s="33" t="s">
        <v>28</v>
      </c>
      <c r="E14" s="29" t="s">
        <v>29</v>
      </c>
      <c r="F14" s="32" t="s">
        <v>29</v>
      </c>
      <c r="G14" s="34" t="s">
        <v>13</v>
      </c>
      <c r="H14" s="24" t="s">
        <v>14</v>
      </c>
      <c r="J14" s="18" t="str">
        <f aca="false">D14</f>
        <v>Charlotte Schöpges</v>
      </c>
      <c r="K14" s="19" t="n">
        <v>3</v>
      </c>
      <c r="L14" s="20" t="n">
        <v>1</v>
      </c>
      <c r="O14" s="21"/>
      <c r="T14" s="21"/>
      <c r="U14" s="21"/>
    </row>
    <row r="15" customFormat="false" ht="20.1" hidden="false" customHeight="true" outlineLevel="0" collapsed="false">
      <c r="B15" s="22" t="n">
        <v>10</v>
      </c>
      <c r="C15" s="22"/>
      <c r="D15" s="29" t="s">
        <v>35</v>
      </c>
      <c r="E15" s="29" t="s">
        <v>36</v>
      </c>
      <c r="F15" s="32" t="s">
        <v>36</v>
      </c>
      <c r="G15" s="23" t="s">
        <v>36</v>
      </c>
      <c r="H15" s="24" t="s">
        <v>14</v>
      </c>
      <c r="J15" s="25" t="str">
        <f aca="false">D15</f>
        <v>Daniel Zimmermann</v>
      </c>
      <c r="K15" s="19"/>
      <c r="L15" s="26" t="n">
        <v>2</v>
      </c>
      <c r="O15" s="21"/>
      <c r="T15" s="21"/>
      <c r="U15" s="21"/>
    </row>
    <row r="16" customFormat="false" ht="20.1" hidden="false" customHeight="true" outlineLevel="0" collapsed="false">
      <c r="B16" s="22" t="n">
        <v>11</v>
      </c>
      <c r="C16" s="22"/>
      <c r="D16" s="23" t="s">
        <v>24</v>
      </c>
      <c r="E16" s="23" t="s">
        <v>25</v>
      </c>
      <c r="F16" s="23" t="s">
        <v>25</v>
      </c>
      <c r="G16" s="23" t="s">
        <v>25</v>
      </c>
      <c r="H16" s="24" t="s">
        <v>14</v>
      </c>
      <c r="J16" s="36" t="str">
        <f aca="false">D16</f>
        <v>Jonas Röhrig</v>
      </c>
      <c r="K16" s="19"/>
      <c r="L16" s="26" t="n">
        <v>3</v>
      </c>
      <c r="O16" s="21"/>
      <c r="T16" s="21"/>
      <c r="U16" s="21"/>
    </row>
    <row r="17" customFormat="false" ht="20.1" hidden="false" customHeight="true" outlineLevel="0" collapsed="false">
      <c r="B17" s="37" t="n">
        <v>12</v>
      </c>
      <c r="C17" s="37"/>
      <c r="D17" s="38" t="s">
        <v>159</v>
      </c>
      <c r="E17" s="39" t="s">
        <v>160</v>
      </c>
      <c r="F17" s="40" t="s">
        <v>160</v>
      </c>
      <c r="G17" s="41" t="s">
        <v>13</v>
      </c>
      <c r="H17" s="42" t="s">
        <v>14</v>
      </c>
      <c r="J17" s="43" t="str">
        <f aca="false">D17</f>
        <v>Jan Unland</v>
      </c>
      <c r="K17" s="19"/>
      <c r="L17" s="44" t="n">
        <v>4</v>
      </c>
      <c r="O17" s="21"/>
      <c r="T17" s="21"/>
      <c r="U17" s="21"/>
    </row>
    <row r="18" customFormat="false" ht="20.1" hidden="false" customHeight="true" outlineLevel="0" collapsed="false">
      <c r="D18" s="45"/>
      <c r="E18" s="45"/>
      <c r="F18" s="45"/>
      <c r="G18" s="45"/>
      <c r="H18" s="311"/>
      <c r="J18" s="389" t="s">
        <v>233</v>
      </c>
      <c r="K18" s="389"/>
      <c r="L18" s="48" t="n">
        <f aca="false">ROWS(L6:L17)</f>
        <v>12</v>
      </c>
      <c r="N18" s="4"/>
      <c r="O18" s="4"/>
      <c r="Q18" s="4"/>
      <c r="R18" s="4"/>
      <c r="S18" s="4"/>
      <c r="T18" s="4"/>
    </row>
    <row r="19" customFormat="false" ht="15.75" hidden="false" customHeight="false" outlineLevel="0" collapsed="false">
      <c r="B19" s="3" t="s">
        <v>234</v>
      </c>
      <c r="C19" s="3"/>
      <c r="D19" s="3"/>
      <c r="E19" s="3"/>
      <c r="F19" s="3"/>
      <c r="G19" s="3"/>
      <c r="K19" s="49"/>
      <c r="L19" s="49"/>
      <c r="M19" s="49"/>
      <c r="N19" s="5"/>
      <c r="O19" s="4"/>
      <c r="P19" s="4"/>
      <c r="R19" s="4"/>
      <c r="S19" s="4"/>
      <c r="T19" s="4"/>
      <c r="U19" s="4"/>
    </row>
    <row r="20" customFormat="false" ht="30.75" hidden="false" customHeight="true" outlineLevel="0" collapsed="false">
      <c r="B20" s="6" t="s">
        <v>41</v>
      </c>
      <c r="C20" s="6"/>
      <c r="D20" s="50" t="s">
        <v>4</v>
      </c>
      <c r="E20" s="8" t="s">
        <v>5</v>
      </c>
      <c r="F20" s="8" t="s">
        <v>6</v>
      </c>
      <c r="G20" s="9" t="s">
        <v>7</v>
      </c>
      <c r="K20" s="49"/>
      <c r="L20" s="49"/>
      <c r="M20" s="49"/>
      <c r="N20" s="5"/>
      <c r="O20" s="4"/>
      <c r="P20" s="4"/>
      <c r="R20" s="4"/>
      <c r="S20" s="4"/>
      <c r="T20" s="4"/>
      <c r="U20" s="4"/>
    </row>
    <row r="21" customFormat="false" ht="20.1" hidden="false" customHeight="true" outlineLevel="0" collapsed="false">
      <c r="B21" s="51" t="n">
        <v>1</v>
      </c>
      <c r="C21" s="51"/>
      <c r="D21" s="52" t="s">
        <v>235</v>
      </c>
      <c r="E21" s="14" t="s">
        <v>236</v>
      </c>
      <c r="F21" s="15" t="s">
        <v>236</v>
      </c>
      <c r="G21" s="53" t="s">
        <v>13</v>
      </c>
      <c r="N21" s="4"/>
      <c r="O21" s="4"/>
      <c r="Q21" s="4"/>
      <c r="R21" s="4"/>
      <c r="S21" s="4"/>
      <c r="T21" s="4"/>
    </row>
    <row r="22" customFormat="false" ht="20.1" hidden="false" customHeight="true" outlineLevel="0" collapsed="false">
      <c r="B22" s="54" t="n">
        <v>2</v>
      </c>
      <c r="C22" s="54"/>
      <c r="D22" s="38" t="s">
        <v>30</v>
      </c>
      <c r="E22" s="39" t="s">
        <v>31</v>
      </c>
      <c r="F22" s="40" t="s">
        <v>31</v>
      </c>
      <c r="G22" s="55" t="s">
        <v>13</v>
      </c>
      <c r="N22" s="4"/>
      <c r="O22" s="4"/>
      <c r="Q22" s="4"/>
      <c r="R22" s="4"/>
      <c r="S22" s="4"/>
      <c r="T22" s="4"/>
    </row>
    <row r="23" customFormat="false" ht="20.1" hidden="false" customHeight="true" outlineLevel="0" collapsed="false">
      <c r="L23" s="49"/>
      <c r="M23" s="49"/>
      <c r="N23" s="49"/>
      <c r="O23" s="5"/>
      <c r="P23" s="4"/>
      <c r="Q23" s="4"/>
      <c r="S23" s="4"/>
      <c r="T23" s="4"/>
      <c r="U23" s="4"/>
      <c r="V23" s="4"/>
    </row>
    <row r="24" customFormat="false" ht="20.1" hidden="false" customHeight="true" outlineLevel="0" collapsed="false">
      <c r="B24" s="56"/>
      <c r="C24" s="56"/>
      <c r="D24" s="57"/>
      <c r="E24" s="57"/>
      <c r="F24" s="57"/>
      <c r="G24" s="57"/>
      <c r="H24" s="56"/>
      <c r="I24" s="56"/>
      <c r="J24" s="56"/>
      <c r="K24" s="56"/>
      <c r="L24" s="56"/>
      <c r="M24" s="56"/>
      <c r="N24" s="56"/>
      <c r="O24" s="56"/>
      <c r="P24" s="56"/>
      <c r="Q24" s="56"/>
      <c r="R24" s="56"/>
      <c r="S24" s="56"/>
      <c r="T24" s="56"/>
      <c r="U24" s="56"/>
    </row>
    <row r="25" customFormat="false" ht="30" hidden="false" customHeight="true" outlineLevel="0" collapsed="false">
      <c r="B25" s="56"/>
      <c r="C25" s="58" t="s">
        <v>47</v>
      </c>
      <c r="D25" s="58"/>
      <c r="E25" s="58"/>
      <c r="F25" s="58"/>
      <c r="G25" s="58"/>
      <c r="H25" s="58"/>
      <c r="I25" s="58"/>
      <c r="J25" s="58"/>
      <c r="K25" s="58"/>
      <c r="L25" s="58"/>
      <c r="M25" s="58"/>
      <c r="N25" s="58"/>
      <c r="O25" s="58"/>
      <c r="P25" s="58"/>
      <c r="Q25" s="58"/>
      <c r="R25" s="58"/>
      <c r="S25" s="58"/>
      <c r="T25" s="58"/>
      <c r="U25" s="56"/>
    </row>
    <row r="26" customFormat="false" ht="20.1" hidden="false" customHeight="true" outlineLevel="0" collapsed="false">
      <c r="B26" s="56"/>
      <c r="U26" s="56"/>
    </row>
    <row r="27" customFormat="false" ht="20.1" hidden="false" customHeight="true" outlineLevel="0" collapsed="false">
      <c r="B27" s="56"/>
      <c r="D27" s="59" t="s">
        <v>48</v>
      </c>
      <c r="E27" s="60" t="s">
        <v>49</v>
      </c>
      <c r="F27" s="61" t="s">
        <v>10</v>
      </c>
      <c r="G27" s="60" t="s">
        <v>50</v>
      </c>
      <c r="H27" s="60"/>
      <c r="I27" s="60"/>
      <c r="J27" s="60"/>
      <c r="K27" s="60" t="s">
        <v>51</v>
      </c>
      <c r="L27" s="62" t="s">
        <v>52</v>
      </c>
      <c r="M27" s="62"/>
      <c r="N27" s="62"/>
      <c r="O27" s="62"/>
      <c r="P27" s="62"/>
      <c r="Q27" s="62"/>
      <c r="R27" s="62"/>
      <c r="S27" s="62"/>
      <c r="U27" s="56"/>
    </row>
    <row r="28" customFormat="false" ht="20.1" hidden="false" customHeight="true" outlineLevel="0" collapsed="false">
      <c r="B28" s="56"/>
      <c r="D28" s="59"/>
      <c r="E28" s="60"/>
      <c r="F28" s="60"/>
      <c r="G28" s="63" t="s">
        <v>53</v>
      </c>
      <c r="H28" s="63" t="s">
        <v>54</v>
      </c>
      <c r="I28" s="64" t="s">
        <v>55</v>
      </c>
      <c r="J28" s="64"/>
      <c r="K28" s="65" t="s">
        <v>56</v>
      </c>
      <c r="L28" s="65" t="s">
        <v>53</v>
      </c>
      <c r="M28" s="66" t="s">
        <v>57</v>
      </c>
      <c r="N28" s="61" t="s">
        <v>55</v>
      </c>
      <c r="O28" s="61"/>
      <c r="P28" s="61"/>
      <c r="Q28" s="61"/>
      <c r="R28" s="61"/>
      <c r="S28" s="61"/>
      <c r="U28" s="56"/>
    </row>
    <row r="29" customFormat="false" ht="15" hidden="false" customHeight="true" outlineLevel="0" collapsed="false">
      <c r="B29" s="56"/>
      <c r="D29" s="390" t="s">
        <v>17</v>
      </c>
      <c r="E29" s="391" t="s">
        <v>18</v>
      </c>
      <c r="F29" s="392" t="n">
        <v>1</v>
      </c>
      <c r="G29" s="68" t="s">
        <v>58</v>
      </c>
      <c r="H29" s="69" t="s">
        <v>67</v>
      </c>
      <c r="I29" s="70" t="s">
        <v>70</v>
      </c>
      <c r="J29" s="70"/>
      <c r="K29" s="393" t="s">
        <v>161</v>
      </c>
      <c r="L29" s="394" t="s">
        <v>62</v>
      </c>
      <c r="M29" s="395" t="s">
        <v>62</v>
      </c>
      <c r="N29" s="220" t="s">
        <v>62</v>
      </c>
      <c r="O29" s="220"/>
      <c r="P29" s="220"/>
      <c r="Q29" s="220"/>
      <c r="R29" s="220"/>
      <c r="S29" s="220"/>
      <c r="U29" s="56"/>
    </row>
    <row r="30" customFormat="false" ht="15" hidden="false" customHeight="true" outlineLevel="0" collapsed="false">
      <c r="B30" s="56"/>
      <c r="D30" s="390"/>
      <c r="E30" s="391"/>
      <c r="F30" s="392"/>
      <c r="G30" s="68"/>
      <c r="H30" s="69"/>
      <c r="I30" s="76" t="s">
        <v>73</v>
      </c>
      <c r="J30" s="76"/>
      <c r="K30" s="393"/>
      <c r="L30" s="394"/>
      <c r="M30" s="395"/>
      <c r="N30" s="220"/>
      <c r="O30" s="220"/>
      <c r="P30" s="220"/>
      <c r="Q30" s="220"/>
      <c r="R30" s="220"/>
      <c r="S30" s="220"/>
      <c r="U30" s="56"/>
    </row>
    <row r="31" customFormat="false" ht="14.45" hidden="false" customHeight="true" outlineLevel="0" collapsed="false">
      <c r="B31" s="56"/>
      <c r="D31" s="77" t="s">
        <v>11</v>
      </c>
      <c r="E31" s="30" t="s">
        <v>12</v>
      </c>
      <c r="F31" s="366" t="n">
        <v>2</v>
      </c>
      <c r="G31" s="78" t="s">
        <v>58</v>
      </c>
      <c r="H31" s="79" t="s">
        <v>65</v>
      </c>
      <c r="I31" s="80" t="s">
        <v>66</v>
      </c>
      <c r="J31" s="80"/>
      <c r="K31" s="396" t="s">
        <v>113</v>
      </c>
      <c r="L31" s="82" t="s">
        <v>62</v>
      </c>
      <c r="M31" s="83" t="s">
        <v>62</v>
      </c>
      <c r="N31" s="84" t="s">
        <v>62</v>
      </c>
      <c r="O31" s="84"/>
      <c r="P31" s="84"/>
      <c r="Q31" s="84"/>
      <c r="R31" s="84"/>
      <c r="S31" s="84"/>
      <c r="U31" s="56"/>
    </row>
    <row r="32" customFormat="false" ht="14.45" hidden="false" customHeight="true" outlineLevel="0" collapsed="false">
      <c r="B32" s="56"/>
      <c r="D32" s="77"/>
      <c r="E32" s="30"/>
      <c r="F32" s="366"/>
      <c r="G32" s="78"/>
      <c r="H32" s="79"/>
      <c r="I32" s="85" t="s">
        <v>68</v>
      </c>
      <c r="J32" s="85"/>
      <c r="K32" s="396"/>
      <c r="L32" s="82"/>
      <c r="M32" s="83"/>
      <c r="N32" s="84"/>
      <c r="O32" s="84"/>
      <c r="P32" s="84"/>
      <c r="Q32" s="84"/>
      <c r="R32" s="84"/>
      <c r="S32" s="84"/>
      <c r="U32" s="56"/>
    </row>
    <row r="33" customFormat="false" ht="14.45" hidden="false" customHeight="true" outlineLevel="0" collapsed="false">
      <c r="B33" s="56"/>
      <c r="D33" s="77"/>
      <c r="E33" s="30"/>
      <c r="F33" s="366"/>
      <c r="G33" s="78"/>
      <c r="H33" s="79"/>
      <c r="I33" s="86" t="s">
        <v>69</v>
      </c>
      <c r="J33" s="86"/>
      <c r="K33" s="396"/>
      <c r="L33" s="82"/>
      <c r="M33" s="83"/>
      <c r="N33" s="84"/>
      <c r="O33" s="84"/>
      <c r="P33" s="84"/>
      <c r="Q33" s="84"/>
      <c r="R33" s="84"/>
      <c r="S33" s="84"/>
      <c r="U33" s="56"/>
    </row>
    <row r="34" customFormat="false" ht="15" hidden="false" customHeight="true" outlineLevel="0" collapsed="false">
      <c r="B34" s="56"/>
      <c r="D34" s="87" t="s">
        <v>22</v>
      </c>
      <c r="E34" s="88" t="s">
        <v>23</v>
      </c>
      <c r="F34" s="397" t="n">
        <v>3</v>
      </c>
      <c r="G34" s="398" t="s">
        <v>110</v>
      </c>
      <c r="H34" s="399" t="s">
        <v>161</v>
      </c>
      <c r="I34" s="400"/>
      <c r="J34" s="400"/>
      <c r="K34" s="224" t="s">
        <v>113</v>
      </c>
      <c r="L34" s="401" t="s">
        <v>237</v>
      </c>
      <c r="M34" s="90" t="s">
        <v>238</v>
      </c>
      <c r="N34" s="91" t="s">
        <v>239</v>
      </c>
      <c r="O34" s="91"/>
      <c r="P34" s="91"/>
      <c r="Q34" s="91"/>
      <c r="R34" s="91"/>
      <c r="S34" s="91"/>
      <c r="U34" s="56"/>
    </row>
    <row r="35" customFormat="false" ht="15" hidden="false" customHeight="true" outlineLevel="0" collapsed="false">
      <c r="B35" s="56"/>
      <c r="D35" s="87"/>
      <c r="E35" s="88"/>
      <c r="F35" s="397"/>
      <c r="G35" s="398"/>
      <c r="H35" s="399"/>
      <c r="I35" s="400"/>
      <c r="J35" s="400"/>
      <c r="K35" s="224"/>
      <c r="L35" s="401"/>
      <c r="M35" s="90"/>
      <c r="N35" s="96" t="s">
        <v>240</v>
      </c>
      <c r="O35" s="96"/>
      <c r="P35" s="96"/>
      <c r="Q35" s="96"/>
      <c r="R35" s="96"/>
      <c r="S35" s="96"/>
      <c r="U35" s="56"/>
    </row>
    <row r="36" customFormat="false" ht="15" hidden="false" customHeight="true" outlineLevel="0" collapsed="false">
      <c r="B36" s="56"/>
      <c r="D36" s="87"/>
      <c r="E36" s="88"/>
      <c r="F36" s="397"/>
      <c r="G36" s="398"/>
      <c r="H36" s="399"/>
      <c r="I36" s="400"/>
      <c r="J36" s="400"/>
      <c r="K36" s="224"/>
      <c r="L36" s="401"/>
      <c r="M36" s="90"/>
      <c r="N36" s="96" t="s">
        <v>241</v>
      </c>
      <c r="O36" s="96"/>
      <c r="P36" s="96"/>
      <c r="Q36" s="96"/>
      <c r="R36" s="96"/>
      <c r="S36" s="96"/>
      <c r="U36" s="56"/>
    </row>
    <row r="37" customFormat="false" ht="15" hidden="false" customHeight="true" outlineLevel="0" collapsed="false">
      <c r="B37" s="56"/>
      <c r="D37" s="87"/>
      <c r="E37" s="88"/>
      <c r="F37" s="397"/>
      <c r="G37" s="398"/>
      <c r="H37" s="399"/>
      <c r="I37" s="400"/>
      <c r="J37" s="400"/>
      <c r="K37" s="224"/>
      <c r="L37" s="401"/>
      <c r="M37" s="90"/>
      <c r="N37" s="96" t="s">
        <v>242</v>
      </c>
      <c r="O37" s="96"/>
      <c r="P37" s="96"/>
      <c r="Q37" s="96"/>
      <c r="R37" s="96"/>
      <c r="S37" s="96"/>
      <c r="U37" s="56"/>
    </row>
    <row r="38" customFormat="false" ht="15" hidden="false" customHeight="true" outlineLevel="0" collapsed="false">
      <c r="B38" s="56"/>
      <c r="D38" s="87"/>
      <c r="E38" s="88"/>
      <c r="F38" s="397"/>
      <c r="G38" s="398"/>
      <c r="H38" s="399"/>
      <c r="I38" s="400"/>
      <c r="J38" s="400"/>
      <c r="K38" s="224"/>
      <c r="L38" s="401"/>
      <c r="M38" s="90"/>
      <c r="N38" s="96" t="s">
        <v>243</v>
      </c>
      <c r="O38" s="96"/>
      <c r="P38" s="96"/>
      <c r="Q38" s="96"/>
      <c r="R38" s="96"/>
      <c r="S38" s="96"/>
      <c r="U38" s="56"/>
    </row>
    <row r="39" customFormat="false" ht="15" hidden="false" customHeight="true" outlineLevel="0" collapsed="false">
      <c r="B39" s="56"/>
      <c r="D39" s="87"/>
      <c r="E39" s="88"/>
      <c r="F39" s="397"/>
      <c r="G39" s="398"/>
      <c r="H39" s="399"/>
      <c r="I39" s="400"/>
      <c r="J39" s="400"/>
      <c r="K39" s="224"/>
      <c r="L39" s="401"/>
      <c r="M39" s="90"/>
      <c r="N39" s="96" t="s">
        <v>244</v>
      </c>
      <c r="O39" s="96"/>
      <c r="P39" s="96"/>
      <c r="Q39" s="96"/>
      <c r="R39" s="96"/>
      <c r="S39" s="96"/>
      <c r="U39" s="56"/>
    </row>
    <row r="40" customFormat="false" ht="15" hidden="false" customHeight="true" outlineLevel="0" collapsed="false">
      <c r="B40" s="56"/>
      <c r="D40" s="87"/>
      <c r="E40" s="88"/>
      <c r="F40" s="397"/>
      <c r="G40" s="398"/>
      <c r="H40" s="399"/>
      <c r="I40" s="400"/>
      <c r="J40" s="400"/>
      <c r="K40" s="224"/>
      <c r="L40" s="401"/>
      <c r="M40" s="90"/>
      <c r="N40" s="96" t="s">
        <v>245</v>
      </c>
      <c r="O40" s="96"/>
      <c r="P40" s="96"/>
      <c r="Q40" s="96"/>
      <c r="R40" s="96"/>
      <c r="S40" s="96"/>
      <c r="U40" s="56"/>
    </row>
    <row r="41" customFormat="false" ht="27.95" hidden="false" customHeight="true" outlineLevel="0" collapsed="false">
      <c r="B41" s="56"/>
      <c r="D41" s="87"/>
      <c r="E41" s="88"/>
      <c r="F41" s="397"/>
      <c r="G41" s="398"/>
      <c r="H41" s="399"/>
      <c r="I41" s="400"/>
      <c r="J41" s="400"/>
      <c r="K41" s="224"/>
      <c r="L41" s="401"/>
      <c r="M41" s="90"/>
      <c r="N41" s="96" t="s">
        <v>246</v>
      </c>
      <c r="O41" s="96"/>
      <c r="P41" s="96"/>
      <c r="Q41" s="96"/>
      <c r="R41" s="96"/>
      <c r="S41" s="96"/>
      <c r="U41" s="56"/>
    </row>
    <row r="42" customFormat="false" ht="27.95" hidden="false" customHeight="true" outlineLevel="0" collapsed="false">
      <c r="B42" s="56"/>
      <c r="D42" s="87"/>
      <c r="E42" s="88"/>
      <c r="F42" s="397"/>
      <c r="G42" s="398"/>
      <c r="H42" s="399"/>
      <c r="I42" s="400"/>
      <c r="J42" s="400"/>
      <c r="K42" s="224"/>
      <c r="L42" s="401"/>
      <c r="M42" s="90"/>
      <c r="N42" s="96" t="s">
        <v>247</v>
      </c>
      <c r="O42" s="96"/>
      <c r="P42" s="96"/>
      <c r="Q42" s="96"/>
      <c r="R42" s="96"/>
      <c r="S42" s="96"/>
      <c r="U42" s="56"/>
    </row>
    <row r="43" customFormat="false" ht="27.95" hidden="false" customHeight="true" outlineLevel="0" collapsed="false">
      <c r="B43" s="56"/>
      <c r="D43" s="87"/>
      <c r="E43" s="88"/>
      <c r="F43" s="397"/>
      <c r="G43" s="398"/>
      <c r="H43" s="399"/>
      <c r="I43" s="400"/>
      <c r="J43" s="400"/>
      <c r="K43" s="224"/>
      <c r="L43" s="401"/>
      <c r="M43" s="90"/>
      <c r="N43" s="96" t="s">
        <v>248</v>
      </c>
      <c r="O43" s="96"/>
      <c r="P43" s="96"/>
      <c r="Q43" s="96"/>
      <c r="R43" s="96"/>
      <c r="S43" s="96"/>
      <c r="U43" s="56"/>
    </row>
    <row r="44" customFormat="false" ht="27.95" hidden="false" customHeight="true" outlineLevel="0" collapsed="false">
      <c r="B44" s="56"/>
      <c r="D44" s="87"/>
      <c r="E44" s="88"/>
      <c r="F44" s="397"/>
      <c r="G44" s="398"/>
      <c r="H44" s="399"/>
      <c r="I44" s="400"/>
      <c r="J44" s="400"/>
      <c r="K44" s="224"/>
      <c r="L44" s="401"/>
      <c r="M44" s="90"/>
      <c r="N44" s="96" t="s">
        <v>249</v>
      </c>
      <c r="O44" s="96"/>
      <c r="P44" s="96"/>
      <c r="Q44" s="96"/>
      <c r="R44" s="96"/>
      <c r="S44" s="96"/>
      <c r="U44" s="56"/>
    </row>
    <row r="45" customFormat="false" ht="15" hidden="false" customHeight="true" outlineLevel="0" collapsed="false">
      <c r="B45" s="56"/>
      <c r="D45" s="87"/>
      <c r="E45" s="88"/>
      <c r="F45" s="397"/>
      <c r="G45" s="398"/>
      <c r="H45" s="399"/>
      <c r="I45" s="400"/>
      <c r="J45" s="400"/>
      <c r="K45" s="224"/>
      <c r="L45" s="401"/>
      <c r="M45" s="90"/>
      <c r="N45" s="96" t="s">
        <v>250</v>
      </c>
      <c r="O45" s="96"/>
      <c r="P45" s="96"/>
      <c r="Q45" s="96"/>
      <c r="R45" s="96"/>
      <c r="S45" s="96"/>
      <c r="U45" s="56"/>
    </row>
    <row r="46" customFormat="false" ht="15" hidden="false" customHeight="true" outlineLevel="0" collapsed="false">
      <c r="B46" s="56"/>
      <c r="D46" s="87"/>
      <c r="E46" s="88"/>
      <c r="F46" s="397"/>
      <c r="G46" s="398"/>
      <c r="H46" s="399"/>
      <c r="I46" s="400"/>
      <c r="J46" s="400"/>
      <c r="K46" s="224"/>
      <c r="L46" s="401"/>
      <c r="M46" s="90"/>
      <c r="N46" s="96" t="s">
        <v>251</v>
      </c>
      <c r="O46" s="96"/>
      <c r="P46" s="96"/>
      <c r="Q46" s="96"/>
      <c r="R46" s="96"/>
      <c r="S46" s="96"/>
      <c r="U46" s="56"/>
    </row>
    <row r="47" customFormat="false" ht="27.95" hidden="false" customHeight="true" outlineLevel="0" collapsed="false">
      <c r="B47" s="56"/>
      <c r="D47" s="87"/>
      <c r="E47" s="88"/>
      <c r="F47" s="397"/>
      <c r="G47" s="398"/>
      <c r="H47" s="399"/>
      <c r="I47" s="400"/>
      <c r="J47" s="400"/>
      <c r="K47" s="224"/>
      <c r="L47" s="401"/>
      <c r="M47" s="90"/>
      <c r="N47" s="96" t="s">
        <v>252</v>
      </c>
      <c r="O47" s="96"/>
      <c r="P47" s="96"/>
      <c r="Q47" s="96"/>
      <c r="R47" s="96"/>
      <c r="S47" s="96"/>
      <c r="U47" s="56"/>
    </row>
    <row r="48" customFormat="false" ht="15" hidden="false" customHeight="true" outlineLevel="0" collapsed="false">
      <c r="B48" s="56"/>
      <c r="D48" s="87"/>
      <c r="E48" s="88"/>
      <c r="F48" s="397"/>
      <c r="G48" s="398"/>
      <c r="H48" s="399"/>
      <c r="I48" s="400"/>
      <c r="J48" s="400"/>
      <c r="K48" s="224"/>
      <c r="L48" s="401"/>
      <c r="M48" s="90"/>
      <c r="N48" s="96" t="s">
        <v>253</v>
      </c>
      <c r="O48" s="96"/>
      <c r="P48" s="96"/>
      <c r="Q48" s="96"/>
      <c r="R48" s="96"/>
      <c r="S48" s="96"/>
      <c r="U48" s="56"/>
    </row>
    <row r="49" customFormat="false" ht="15" hidden="false" customHeight="true" outlineLevel="0" collapsed="false">
      <c r="B49" s="56"/>
      <c r="D49" s="87"/>
      <c r="E49" s="88"/>
      <c r="F49" s="397"/>
      <c r="G49" s="398"/>
      <c r="H49" s="399"/>
      <c r="I49" s="96" t="s">
        <v>173</v>
      </c>
      <c r="J49" s="96"/>
      <c r="K49" s="224"/>
      <c r="L49" s="401"/>
      <c r="M49" s="90"/>
      <c r="N49" s="96" t="s">
        <v>254</v>
      </c>
      <c r="O49" s="96"/>
      <c r="P49" s="96"/>
      <c r="Q49" s="96"/>
      <c r="R49" s="96"/>
      <c r="S49" s="96"/>
      <c r="U49" s="56"/>
    </row>
    <row r="50" customFormat="false" ht="15" hidden="false" customHeight="true" outlineLevel="0" collapsed="false">
      <c r="B50" s="56"/>
      <c r="D50" s="87"/>
      <c r="E50" s="88"/>
      <c r="F50" s="397"/>
      <c r="G50" s="398"/>
      <c r="H50" s="399"/>
      <c r="I50" s="96" t="s">
        <v>174</v>
      </c>
      <c r="J50" s="96"/>
      <c r="K50" s="224"/>
      <c r="L50" s="401"/>
      <c r="M50" s="90"/>
      <c r="N50" s="96" t="s">
        <v>255</v>
      </c>
      <c r="O50" s="96"/>
      <c r="P50" s="96"/>
      <c r="Q50" s="96"/>
      <c r="R50" s="96"/>
      <c r="S50" s="96"/>
      <c r="U50" s="56"/>
    </row>
    <row r="51" customFormat="false" ht="15" hidden="false" customHeight="true" outlineLevel="0" collapsed="false">
      <c r="B51" s="56"/>
      <c r="D51" s="87"/>
      <c r="E51" s="88"/>
      <c r="F51" s="397"/>
      <c r="G51" s="398"/>
      <c r="H51" s="399"/>
      <c r="I51" s="96" t="s">
        <v>175</v>
      </c>
      <c r="J51" s="96"/>
      <c r="K51" s="224"/>
      <c r="L51" s="401"/>
      <c r="M51" s="90"/>
      <c r="N51" s="96" t="s">
        <v>256</v>
      </c>
      <c r="O51" s="96"/>
      <c r="P51" s="96"/>
      <c r="Q51" s="96"/>
      <c r="R51" s="96"/>
      <c r="S51" s="96"/>
      <c r="U51" s="56"/>
    </row>
    <row r="52" customFormat="false" ht="27.95" hidden="false" customHeight="true" outlineLevel="0" collapsed="false">
      <c r="B52" s="56"/>
      <c r="D52" s="87"/>
      <c r="E52" s="88"/>
      <c r="F52" s="397"/>
      <c r="G52" s="398"/>
      <c r="H52" s="399"/>
      <c r="I52" s="402" t="s">
        <v>176</v>
      </c>
      <c r="J52" s="402"/>
      <c r="K52" s="224"/>
      <c r="L52" s="401"/>
      <c r="M52" s="90"/>
      <c r="N52" s="96" t="s">
        <v>257</v>
      </c>
      <c r="O52" s="96"/>
      <c r="P52" s="96"/>
      <c r="Q52" s="96"/>
      <c r="R52" s="96"/>
      <c r="S52" s="96"/>
      <c r="U52" s="56"/>
    </row>
    <row r="53" customFormat="false" ht="27.95" hidden="false" customHeight="true" outlineLevel="0" collapsed="false">
      <c r="B53" s="56"/>
      <c r="D53" s="87"/>
      <c r="E53" s="88"/>
      <c r="F53" s="397"/>
      <c r="G53" s="398"/>
      <c r="H53" s="399"/>
      <c r="I53" s="96"/>
      <c r="J53" s="96"/>
      <c r="K53" s="224"/>
      <c r="L53" s="401"/>
      <c r="M53" s="90"/>
      <c r="N53" s="96" t="s">
        <v>258</v>
      </c>
      <c r="O53" s="96"/>
      <c r="P53" s="96"/>
      <c r="Q53" s="96"/>
      <c r="R53" s="96"/>
      <c r="S53" s="96"/>
      <c r="U53" s="56"/>
    </row>
    <row r="54" customFormat="false" ht="27.95" hidden="false" customHeight="true" outlineLevel="0" collapsed="false">
      <c r="B54" s="56"/>
      <c r="D54" s="87"/>
      <c r="E54" s="88"/>
      <c r="F54" s="397"/>
      <c r="G54" s="398"/>
      <c r="H54" s="399"/>
      <c r="I54" s="400"/>
      <c r="J54" s="400"/>
      <c r="K54" s="224"/>
      <c r="L54" s="401"/>
      <c r="M54" s="90"/>
      <c r="N54" s="96" t="s">
        <v>259</v>
      </c>
      <c r="O54" s="96"/>
      <c r="P54" s="96"/>
      <c r="Q54" s="96"/>
      <c r="R54" s="96"/>
      <c r="S54" s="96"/>
      <c r="U54" s="56"/>
    </row>
    <row r="55" customFormat="false" ht="15" hidden="false" customHeight="true" outlineLevel="0" collapsed="false">
      <c r="B55" s="56"/>
      <c r="D55" s="87"/>
      <c r="E55" s="88"/>
      <c r="F55" s="397"/>
      <c r="G55" s="398"/>
      <c r="H55" s="399"/>
      <c r="I55" s="400"/>
      <c r="J55" s="400"/>
      <c r="K55" s="224"/>
      <c r="L55" s="401"/>
      <c r="M55" s="90"/>
      <c r="N55" s="96" t="s">
        <v>260</v>
      </c>
      <c r="O55" s="96"/>
      <c r="P55" s="96"/>
      <c r="Q55" s="96"/>
      <c r="R55" s="96"/>
      <c r="S55" s="96"/>
      <c r="U55" s="56"/>
    </row>
    <row r="56" customFormat="false" ht="27.95" hidden="false" customHeight="true" outlineLevel="0" collapsed="false">
      <c r="B56" s="56"/>
      <c r="D56" s="87"/>
      <c r="E56" s="88"/>
      <c r="F56" s="397"/>
      <c r="G56" s="398"/>
      <c r="H56" s="399"/>
      <c r="I56" s="400"/>
      <c r="J56" s="400"/>
      <c r="K56" s="224"/>
      <c r="L56" s="401"/>
      <c r="M56" s="90"/>
      <c r="N56" s="96" t="s">
        <v>261</v>
      </c>
      <c r="O56" s="96"/>
      <c r="P56" s="96"/>
      <c r="Q56" s="96"/>
      <c r="R56" s="96"/>
      <c r="S56" s="96"/>
      <c r="U56" s="56"/>
    </row>
    <row r="57" customFormat="false" ht="27.95" hidden="false" customHeight="true" outlineLevel="0" collapsed="false">
      <c r="B57" s="56"/>
      <c r="D57" s="87"/>
      <c r="E57" s="88"/>
      <c r="F57" s="397"/>
      <c r="G57" s="398"/>
      <c r="H57" s="399"/>
      <c r="I57" s="400"/>
      <c r="J57" s="400"/>
      <c r="K57" s="224"/>
      <c r="L57" s="401"/>
      <c r="M57" s="90"/>
      <c r="N57" s="96" t="s">
        <v>262</v>
      </c>
      <c r="O57" s="96"/>
      <c r="P57" s="96"/>
      <c r="Q57" s="96"/>
      <c r="R57" s="96"/>
      <c r="S57" s="96"/>
      <c r="U57" s="56"/>
    </row>
    <row r="58" customFormat="false" ht="27.95" hidden="false" customHeight="true" outlineLevel="0" collapsed="false">
      <c r="B58" s="56"/>
      <c r="D58" s="87"/>
      <c r="E58" s="88"/>
      <c r="F58" s="397"/>
      <c r="G58" s="398"/>
      <c r="H58" s="399"/>
      <c r="I58" s="400"/>
      <c r="J58" s="400"/>
      <c r="K58" s="224"/>
      <c r="L58" s="401"/>
      <c r="M58" s="90"/>
      <c r="N58" s="96" t="s">
        <v>263</v>
      </c>
      <c r="O58" s="96"/>
      <c r="P58" s="96"/>
      <c r="Q58" s="96"/>
      <c r="R58" s="96"/>
      <c r="S58" s="96"/>
      <c r="U58" s="56"/>
    </row>
    <row r="59" customFormat="false" ht="27.95" hidden="false" customHeight="true" outlineLevel="0" collapsed="false">
      <c r="B59" s="56"/>
      <c r="D59" s="87"/>
      <c r="E59" s="88"/>
      <c r="F59" s="397"/>
      <c r="G59" s="398"/>
      <c r="H59" s="399"/>
      <c r="I59" s="400"/>
      <c r="J59" s="400"/>
      <c r="K59" s="224"/>
      <c r="L59" s="401"/>
      <c r="M59" s="90"/>
      <c r="N59" s="96" t="s">
        <v>264</v>
      </c>
      <c r="O59" s="96"/>
      <c r="P59" s="96"/>
      <c r="Q59" s="96"/>
      <c r="R59" s="96"/>
      <c r="S59" s="96"/>
      <c r="U59" s="56"/>
    </row>
    <row r="60" customFormat="false" ht="27.95" hidden="false" customHeight="true" outlineLevel="0" collapsed="false">
      <c r="B60" s="56"/>
      <c r="D60" s="87"/>
      <c r="E60" s="88"/>
      <c r="F60" s="397"/>
      <c r="G60" s="398"/>
      <c r="H60" s="399"/>
      <c r="I60" s="400"/>
      <c r="J60" s="400"/>
      <c r="K60" s="224"/>
      <c r="L60" s="401"/>
      <c r="M60" s="90"/>
      <c r="N60" s="96" t="s">
        <v>265</v>
      </c>
      <c r="O60" s="96"/>
      <c r="P60" s="96"/>
      <c r="Q60" s="96"/>
      <c r="R60" s="96"/>
      <c r="S60" s="96"/>
      <c r="U60" s="56"/>
    </row>
    <row r="61" customFormat="false" ht="27.95" hidden="false" customHeight="true" outlineLevel="0" collapsed="false">
      <c r="B61" s="56"/>
      <c r="D61" s="87"/>
      <c r="E61" s="88"/>
      <c r="F61" s="397"/>
      <c r="G61" s="398"/>
      <c r="H61" s="399"/>
      <c r="I61" s="400"/>
      <c r="J61" s="400"/>
      <c r="K61" s="224"/>
      <c r="L61" s="401"/>
      <c r="M61" s="90"/>
      <c r="N61" s="96" t="s">
        <v>266</v>
      </c>
      <c r="O61" s="96"/>
      <c r="P61" s="96"/>
      <c r="Q61" s="96"/>
      <c r="R61" s="96"/>
      <c r="S61" s="96"/>
      <c r="U61" s="56"/>
    </row>
    <row r="62" customFormat="false" ht="27.95" hidden="false" customHeight="true" outlineLevel="0" collapsed="false">
      <c r="B62" s="56"/>
      <c r="D62" s="87"/>
      <c r="E62" s="88"/>
      <c r="F62" s="397"/>
      <c r="G62" s="398"/>
      <c r="H62" s="399"/>
      <c r="I62" s="400"/>
      <c r="J62" s="400"/>
      <c r="K62" s="224"/>
      <c r="L62" s="401"/>
      <c r="M62" s="90"/>
      <c r="N62" s="96" t="s">
        <v>267</v>
      </c>
      <c r="O62" s="96"/>
      <c r="P62" s="96"/>
      <c r="Q62" s="96"/>
      <c r="R62" s="96"/>
      <c r="S62" s="96"/>
      <c r="U62" s="56"/>
    </row>
    <row r="63" customFormat="false" ht="27.95" hidden="false" customHeight="true" outlineLevel="0" collapsed="false">
      <c r="B63" s="56"/>
      <c r="D63" s="87"/>
      <c r="E63" s="88"/>
      <c r="F63" s="397"/>
      <c r="G63" s="398"/>
      <c r="H63" s="399"/>
      <c r="I63" s="400"/>
      <c r="J63" s="400"/>
      <c r="K63" s="224"/>
      <c r="L63" s="401"/>
      <c r="M63" s="90"/>
      <c r="N63" s="324" t="s">
        <v>268</v>
      </c>
      <c r="O63" s="324"/>
      <c r="P63" s="324"/>
      <c r="Q63" s="324"/>
      <c r="R63" s="324"/>
      <c r="S63" s="324"/>
      <c r="U63" s="56"/>
    </row>
    <row r="64" customFormat="false" ht="20.1" hidden="false" customHeight="true" outlineLevel="0" collapsed="false">
      <c r="B64" s="56"/>
      <c r="D64" s="43" t="s">
        <v>37</v>
      </c>
      <c r="E64" s="39" t="s">
        <v>38</v>
      </c>
      <c r="F64" s="377" t="n">
        <v>4</v>
      </c>
      <c r="G64" s="99" t="s">
        <v>58</v>
      </c>
      <c r="H64" s="301" t="s">
        <v>269</v>
      </c>
      <c r="I64" s="403" t="s">
        <v>62</v>
      </c>
      <c r="J64" s="403"/>
      <c r="K64" s="102" t="s">
        <v>161</v>
      </c>
      <c r="L64" s="325" t="s">
        <v>62</v>
      </c>
      <c r="M64" s="404" t="s">
        <v>62</v>
      </c>
      <c r="N64" s="327" t="s">
        <v>62</v>
      </c>
      <c r="O64" s="327"/>
      <c r="P64" s="327"/>
      <c r="Q64" s="327"/>
      <c r="R64" s="327"/>
      <c r="S64" s="327"/>
      <c r="U64" s="56"/>
    </row>
    <row r="65" customFormat="false" ht="20.1" hidden="false" customHeight="true" outlineLevel="0" collapsed="false">
      <c r="B65" s="56"/>
      <c r="U65" s="56"/>
    </row>
    <row r="66" customFormat="false" ht="20.1" hidden="false" customHeight="true" outlineLevel="0" collapsed="false">
      <c r="B66" s="56"/>
      <c r="C66" s="106"/>
      <c r="D66" s="106"/>
      <c r="E66" s="107" t="str">
        <f aca="false">IF(OR(M29="-",M29= ""),H29,M29)</f>
        <v>Dungeon Petz</v>
      </c>
      <c r="F66" s="107"/>
      <c r="G66" s="107"/>
      <c r="H66" s="107"/>
      <c r="I66" s="107"/>
      <c r="J66" s="107"/>
      <c r="K66" s="107"/>
      <c r="L66" s="107"/>
      <c r="M66" s="107"/>
      <c r="N66" s="107"/>
      <c r="O66" s="108"/>
      <c r="P66" s="108"/>
      <c r="Q66" s="108"/>
      <c r="R66" s="108"/>
      <c r="S66" s="108"/>
      <c r="T66" s="106"/>
      <c r="U66" s="56"/>
    </row>
    <row r="67" customFormat="false" ht="50.1" hidden="false" customHeight="true" outlineLevel="0" collapsed="false">
      <c r="B67" s="56"/>
      <c r="C67" s="106"/>
      <c r="D67" s="108"/>
      <c r="E67" s="59" t="s">
        <v>48</v>
      </c>
      <c r="F67" s="109" t="s">
        <v>80</v>
      </c>
      <c r="G67" s="61" t="s">
        <v>81</v>
      </c>
      <c r="H67" s="60" t="s">
        <v>82</v>
      </c>
      <c r="I67" s="6" t="s">
        <v>83</v>
      </c>
      <c r="J67" s="60" t="s">
        <v>84</v>
      </c>
      <c r="K67" s="110" t="s">
        <v>85</v>
      </c>
      <c r="L67" s="60" t="s">
        <v>86</v>
      </c>
      <c r="M67" s="111" t="s">
        <v>87</v>
      </c>
      <c r="N67" s="61" t="s">
        <v>88</v>
      </c>
      <c r="O67" s="112" t="s">
        <v>89</v>
      </c>
      <c r="P67" s="113" t="s">
        <v>90</v>
      </c>
      <c r="Q67" s="113" t="s">
        <v>91</v>
      </c>
      <c r="R67" s="113" t="s">
        <v>92</v>
      </c>
      <c r="S67" s="108"/>
      <c r="T67" s="106"/>
      <c r="U67" s="56"/>
    </row>
    <row r="68" customFormat="false" ht="20.1" hidden="false" customHeight="true" outlineLevel="0" collapsed="false">
      <c r="B68" s="56"/>
      <c r="C68" s="106"/>
      <c r="D68" s="106"/>
      <c r="E68" s="67" t="s">
        <v>17</v>
      </c>
      <c r="F68" s="14" t="s">
        <v>18</v>
      </c>
      <c r="G68" s="258" t="n">
        <v>3</v>
      </c>
      <c r="H68" s="258" t="s">
        <v>62</v>
      </c>
      <c r="I68" s="258" t="n">
        <v>0</v>
      </c>
      <c r="J68" s="258" t="n">
        <v>71</v>
      </c>
      <c r="K68" s="258" t="s">
        <v>62</v>
      </c>
      <c r="L68" s="259" t="n">
        <f aca="false">IF(J68="",0,(J68/J72)*100)</f>
        <v>98.6111111111111</v>
      </c>
      <c r="M68" s="258" t="n">
        <v>2</v>
      </c>
      <c r="N68" s="260" t="n">
        <v>3</v>
      </c>
      <c r="O68" s="116" t="n">
        <f aca="false">IF(M68=1,1,0)</f>
        <v>0</v>
      </c>
      <c r="P68" s="117" t="n">
        <f aca="false">IF(M68=2,1,0)</f>
        <v>1</v>
      </c>
      <c r="Q68" s="117" t="n">
        <f aca="false">IF(M68=3,1,0)</f>
        <v>0</v>
      </c>
      <c r="R68" s="118" t="n">
        <f aca="false">IF(M68=4,1,0)</f>
        <v>0</v>
      </c>
      <c r="S68" s="119"/>
      <c r="T68" s="106"/>
      <c r="U68" s="56"/>
    </row>
    <row r="69" customFormat="false" ht="20.1" hidden="false" customHeight="true" outlineLevel="0" collapsed="false">
      <c r="B69" s="56"/>
      <c r="C69" s="106"/>
      <c r="D69" s="106"/>
      <c r="E69" s="77" t="s">
        <v>11</v>
      </c>
      <c r="F69" s="29" t="s">
        <v>12</v>
      </c>
      <c r="G69" s="248" t="n">
        <v>2</v>
      </c>
      <c r="H69" s="248" t="s">
        <v>62</v>
      </c>
      <c r="I69" s="248" t="n">
        <v>0</v>
      </c>
      <c r="J69" s="248" t="n">
        <v>69</v>
      </c>
      <c r="K69" s="248" t="s">
        <v>62</v>
      </c>
      <c r="L69" s="250" t="n">
        <f aca="false">IF(J69="",0,(J69/J72)*100)</f>
        <v>95.8333333333333</v>
      </c>
      <c r="M69" s="248" t="n">
        <v>3</v>
      </c>
      <c r="N69" s="251" t="n">
        <v>1</v>
      </c>
      <c r="O69" s="123" t="n">
        <f aca="false">IF(M69=1,1,0)</f>
        <v>0</v>
      </c>
      <c r="P69" s="124" t="n">
        <f aca="false">IF(M69=2,1,0)</f>
        <v>0</v>
      </c>
      <c r="Q69" s="124" t="n">
        <f aca="false">IF(M69=3,1,0)</f>
        <v>1</v>
      </c>
      <c r="R69" s="125" t="n">
        <f aca="false">IF(M69=4,1,0)</f>
        <v>0</v>
      </c>
      <c r="S69" s="119"/>
      <c r="T69" s="106"/>
      <c r="U69" s="56"/>
    </row>
    <row r="70" customFormat="false" ht="20.1" hidden="false" customHeight="true" outlineLevel="0" collapsed="false">
      <c r="B70" s="56"/>
      <c r="C70" s="106"/>
      <c r="D70" s="106"/>
      <c r="E70" s="77" t="s">
        <v>22</v>
      </c>
      <c r="F70" s="29" t="s">
        <v>23</v>
      </c>
      <c r="G70" s="248" t="n">
        <v>1</v>
      </c>
      <c r="H70" s="248" t="s">
        <v>62</v>
      </c>
      <c r="I70" s="248" t="n">
        <v>0</v>
      </c>
      <c r="J70" s="248" t="n">
        <v>31</v>
      </c>
      <c r="K70" s="248" t="s">
        <v>62</v>
      </c>
      <c r="L70" s="250" t="n">
        <f aca="false">IF(J70="",0,(J70/J72)*100)</f>
        <v>43.0555555555556</v>
      </c>
      <c r="M70" s="248" t="n">
        <v>4</v>
      </c>
      <c r="N70" s="251" t="n">
        <v>0</v>
      </c>
      <c r="O70" s="123" t="n">
        <f aca="false">IF(M70=1,1,0)</f>
        <v>0</v>
      </c>
      <c r="P70" s="124" t="n">
        <f aca="false">IF(M70=2,1,0)</f>
        <v>0</v>
      </c>
      <c r="Q70" s="124" t="n">
        <f aca="false">IF(M70=3,1,0)</f>
        <v>0</v>
      </c>
      <c r="R70" s="125" t="n">
        <f aca="false">IF(M70=4,1,0)</f>
        <v>1</v>
      </c>
      <c r="S70" s="119"/>
      <c r="T70" s="106"/>
      <c r="U70" s="56"/>
    </row>
    <row r="71" customFormat="false" ht="20.1" hidden="false" customHeight="true" outlineLevel="0" collapsed="false">
      <c r="B71" s="56"/>
      <c r="C71" s="106"/>
      <c r="D71" s="131"/>
      <c r="E71" s="261" t="s">
        <v>37</v>
      </c>
      <c r="F71" s="262" t="s">
        <v>38</v>
      </c>
      <c r="G71" s="263" t="n">
        <v>4</v>
      </c>
      <c r="H71" s="263" t="s">
        <v>62</v>
      </c>
      <c r="I71" s="263" t="n">
        <v>0</v>
      </c>
      <c r="J71" s="263" t="n">
        <v>72</v>
      </c>
      <c r="K71" s="263" t="s">
        <v>62</v>
      </c>
      <c r="L71" s="265" t="n">
        <f aca="false">IF(J71="",0,(J71/J72)*100)</f>
        <v>100</v>
      </c>
      <c r="M71" s="263" t="n">
        <v>1</v>
      </c>
      <c r="N71" s="266" t="n">
        <v>6</v>
      </c>
      <c r="O71" s="135" t="n">
        <f aca="false">IF(M71=1,1,0)</f>
        <v>1</v>
      </c>
      <c r="P71" s="136" t="n">
        <f aca="false">IF(M71=2,1,0)</f>
        <v>0</v>
      </c>
      <c r="Q71" s="136" t="n">
        <f aca="false">IF(M71=3,1,0)</f>
        <v>0</v>
      </c>
      <c r="R71" s="137" t="n">
        <f aca="false">IF(M71=4,1,0)</f>
        <v>0</v>
      </c>
      <c r="S71" s="119"/>
      <c r="T71" s="106"/>
      <c r="U71" s="56"/>
    </row>
    <row r="72" customFormat="false" ht="20.1" hidden="true" customHeight="true" outlineLevel="1" collapsed="false">
      <c r="B72" s="56"/>
      <c r="C72" s="106"/>
      <c r="D72" s="138"/>
      <c r="E72" s="138"/>
      <c r="F72" s="139"/>
      <c r="G72" s="139"/>
      <c r="H72" s="106"/>
      <c r="I72" s="140" t="s">
        <v>94</v>
      </c>
      <c r="J72" s="141" t="n">
        <f aca="false">MAX(J68:J71)</f>
        <v>72</v>
      </c>
      <c r="K72" s="142"/>
      <c r="L72" s="143"/>
      <c r="M72" s="106"/>
      <c r="N72" s="144" t="s">
        <v>95</v>
      </c>
      <c r="O72" s="145" t="n">
        <f aca="false">SUM(O68:O71)</f>
        <v>1</v>
      </c>
      <c r="P72" s="146" t="n">
        <f aca="false">SUM(P68:P71)</f>
        <v>1</v>
      </c>
      <c r="Q72" s="145" t="n">
        <f aca="false">SUM(Q68:Q71)</f>
        <v>1</v>
      </c>
      <c r="R72" s="145" t="n">
        <f aca="false">SUM(R68:R71)</f>
        <v>1</v>
      </c>
      <c r="S72" s="147"/>
      <c r="T72" s="106"/>
      <c r="U72" s="56"/>
    </row>
    <row r="73" customFormat="false" ht="20.1" hidden="false" customHeight="true" outlineLevel="0" collapsed="false">
      <c r="B73" s="56"/>
      <c r="C73" s="106"/>
      <c r="D73" s="106"/>
      <c r="E73" s="106"/>
      <c r="F73" s="148"/>
      <c r="G73" s="148"/>
      <c r="H73" s="108"/>
      <c r="I73" s="106"/>
      <c r="J73" s="106"/>
      <c r="K73" s="106"/>
      <c r="L73" s="106"/>
      <c r="M73" s="106"/>
      <c r="N73" s="106"/>
      <c r="O73" s="106"/>
      <c r="P73" s="106"/>
      <c r="Q73" s="106"/>
      <c r="R73" s="106"/>
      <c r="S73" s="106"/>
      <c r="T73" s="106"/>
      <c r="U73" s="56"/>
    </row>
    <row r="74" customFormat="false" ht="20.1" hidden="false" customHeight="true" outlineLevel="0" collapsed="false">
      <c r="B74" s="56"/>
      <c r="U74" s="56"/>
    </row>
    <row r="75" customFormat="false" ht="20.1" hidden="false" customHeight="true" outlineLevel="0" collapsed="false">
      <c r="B75" s="56"/>
      <c r="C75" s="149"/>
      <c r="D75" s="149"/>
      <c r="E75" s="150" t="str">
        <f aca="false">IF(OR(M31="-",M31= ""),H31,M31)</f>
        <v>Marco Polo II: Im Auftrag des Khan</v>
      </c>
      <c r="F75" s="150"/>
      <c r="G75" s="150"/>
      <c r="H75" s="150"/>
      <c r="I75" s="150"/>
      <c r="J75" s="150"/>
      <c r="K75" s="150"/>
      <c r="L75" s="150"/>
      <c r="M75" s="150"/>
      <c r="N75" s="150"/>
      <c r="O75" s="151"/>
      <c r="P75" s="151"/>
      <c r="Q75" s="151"/>
      <c r="R75" s="151"/>
      <c r="S75" s="151"/>
      <c r="T75" s="149"/>
      <c r="U75" s="56"/>
    </row>
    <row r="76" customFormat="false" ht="50.1" hidden="false" customHeight="true" outlineLevel="0" collapsed="false">
      <c r="B76" s="56"/>
      <c r="C76" s="149"/>
      <c r="D76" s="151"/>
      <c r="E76" s="59" t="s">
        <v>48</v>
      </c>
      <c r="F76" s="109" t="s">
        <v>80</v>
      </c>
      <c r="G76" s="61" t="s">
        <v>81</v>
      </c>
      <c r="H76" s="60" t="s">
        <v>82</v>
      </c>
      <c r="I76" s="6" t="s">
        <v>83</v>
      </c>
      <c r="J76" s="60" t="s">
        <v>84</v>
      </c>
      <c r="K76" s="110" t="s">
        <v>85</v>
      </c>
      <c r="L76" s="60" t="s">
        <v>86</v>
      </c>
      <c r="M76" s="111" t="s">
        <v>87</v>
      </c>
      <c r="N76" s="61" t="s">
        <v>88</v>
      </c>
      <c r="O76" s="112" t="s">
        <v>89</v>
      </c>
      <c r="P76" s="113" t="s">
        <v>90</v>
      </c>
      <c r="Q76" s="113" t="s">
        <v>91</v>
      </c>
      <c r="R76" s="113" t="s">
        <v>92</v>
      </c>
      <c r="S76" s="151"/>
      <c r="T76" s="149"/>
      <c r="U76" s="56"/>
    </row>
    <row r="77" customFormat="false" ht="20.1" hidden="false" customHeight="true" outlineLevel="0" collapsed="false">
      <c r="B77" s="56"/>
      <c r="C77" s="149"/>
      <c r="D77" s="149"/>
      <c r="E77" s="243" t="s">
        <v>17</v>
      </c>
      <c r="F77" s="244" t="s">
        <v>18</v>
      </c>
      <c r="G77" s="245" t="n">
        <v>3</v>
      </c>
      <c r="H77" s="245" t="s">
        <v>270</v>
      </c>
      <c r="I77" s="245" t="n">
        <v>0</v>
      </c>
      <c r="J77" s="245" t="n">
        <v>145</v>
      </c>
      <c r="K77" s="245" t="s">
        <v>62</v>
      </c>
      <c r="L77" s="246" t="n">
        <f aca="false">IF(J77="",0,(J77/J81)*100)</f>
        <v>100</v>
      </c>
      <c r="M77" s="245" t="n">
        <v>1</v>
      </c>
      <c r="N77" s="247" t="n">
        <v>6</v>
      </c>
      <c r="O77" s="116" t="n">
        <f aca="false">IF(M77=1,1,0)</f>
        <v>1</v>
      </c>
      <c r="P77" s="117" t="n">
        <f aca="false">IF(M77=2,1,0)</f>
        <v>0</v>
      </c>
      <c r="Q77" s="117" t="n">
        <f aca="false">IF(M77=3,1,0)</f>
        <v>0</v>
      </c>
      <c r="R77" s="118" t="n">
        <f aca="false">IF(M77=4,1,0)</f>
        <v>0</v>
      </c>
      <c r="S77" s="152"/>
      <c r="T77" s="149"/>
      <c r="U77" s="56"/>
    </row>
    <row r="78" customFormat="false" ht="20.1" hidden="false" customHeight="true" outlineLevel="0" collapsed="false">
      <c r="B78" s="56"/>
      <c r="C78" s="149"/>
      <c r="D78" s="153"/>
      <c r="E78" s="77" t="s">
        <v>11</v>
      </c>
      <c r="F78" s="29" t="s">
        <v>12</v>
      </c>
      <c r="G78" s="248" t="n">
        <v>1</v>
      </c>
      <c r="H78" s="248" t="s">
        <v>271</v>
      </c>
      <c r="I78" s="248" t="n">
        <v>0</v>
      </c>
      <c r="J78" s="248" t="n">
        <v>140</v>
      </c>
      <c r="K78" s="248" t="s">
        <v>62</v>
      </c>
      <c r="L78" s="250" t="n">
        <f aca="false">IF(J78="",0,(J78/J81)*100)</f>
        <v>96.551724137931</v>
      </c>
      <c r="M78" s="248" t="n">
        <v>2</v>
      </c>
      <c r="N78" s="251" t="n">
        <v>3</v>
      </c>
      <c r="O78" s="123" t="n">
        <f aca="false">IF(M78=1,1,0)</f>
        <v>0</v>
      </c>
      <c r="P78" s="124" t="n">
        <f aca="false">IF(M78=2,1,0)</f>
        <v>1</v>
      </c>
      <c r="Q78" s="124" t="n">
        <f aca="false">IF(M78=3,1,0)</f>
        <v>0</v>
      </c>
      <c r="R78" s="125" t="n">
        <f aca="false">IF(M78=4,1,0)</f>
        <v>0</v>
      </c>
      <c r="S78" s="152"/>
      <c r="T78" s="149"/>
      <c r="U78" s="56"/>
    </row>
    <row r="79" customFormat="false" ht="27.95" hidden="false" customHeight="true" outlineLevel="0" collapsed="false">
      <c r="B79" s="56"/>
      <c r="C79" s="149"/>
      <c r="D79" s="149"/>
      <c r="E79" s="77" t="s">
        <v>22</v>
      </c>
      <c r="F79" s="29" t="s">
        <v>23</v>
      </c>
      <c r="G79" s="248" t="n">
        <v>4</v>
      </c>
      <c r="H79" s="249" t="s">
        <v>99</v>
      </c>
      <c r="I79" s="248" t="n">
        <v>0</v>
      </c>
      <c r="J79" s="248" t="n">
        <v>96</v>
      </c>
      <c r="K79" s="248" t="s">
        <v>62</v>
      </c>
      <c r="L79" s="250" t="n">
        <f aca="false">IF(J79="",0,(J79/J81)*100)</f>
        <v>66.2068965517241</v>
      </c>
      <c r="M79" s="248" t="n">
        <v>4</v>
      </c>
      <c r="N79" s="251" t="n">
        <v>0</v>
      </c>
      <c r="O79" s="123" t="n">
        <f aca="false">IF(M79=1,1,0)</f>
        <v>0</v>
      </c>
      <c r="P79" s="124" t="n">
        <f aca="false">IF(M79=2,1,0)</f>
        <v>0</v>
      </c>
      <c r="Q79" s="124" t="n">
        <f aca="false">IF(M79=3,1,0)</f>
        <v>0</v>
      </c>
      <c r="R79" s="125" t="n">
        <f aca="false">IF(M79=4,1,0)</f>
        <v>1</v>
      </c>
      <c r="S79" s="152"/>
      <c r="T79" s="149"/>
      <c r="U79" s="56"/>
    </row>
    <row r="80" customFormat="false" ht="20.1" hidden="false" customHeight="true" outlineLevel="0" collapsed="false">
      <c r="B80" s="56"/>
      <c r="C80" s="149"/>
      <c r="D80" s="149"/>
      <c r="E80" s="252" t="s">
        <v>37</v>
      </c>
      <c r="F80" s="39" t="s">
        <v>38</v>
      </c>
      <c r="G80" s="253" t="n">
        <v>2</v>
      </c>
      <c r="H80" s="253" t="s">
        <v>272</v>
      </c>
      <c r="I80" s="253" t="n">
        <v>0</v>
      </c>
      <c r="J80" s="253" t="n">
        <v>130</v>
      </c>
      <c r="K80" s="253" t="s">
        <v>62</v>
      </c>
      <c r="L80" s="255" t="n">
        <f aca="false">IF(J80="",0,(J80/J81)*100)</f>
        <v>89.6551724137931</v>
      </c>
      <c r="M80" s="253" t="n">
        <v>3</v>
      </c>
      <c r="N80" s="256" t="n">
        <v>1</v>
      </c>
      <c r="O80" s="135" t="n">
        <f aca="false">IF(M80=1,1,0)</f>
        <v>0</v>
      </c>
      <c r="P80" s="136" t="n">
        <f aca="false">IF(M80=2,1,0)</f>
        <v>0</v>
      </c>
      <c r="Q80" s="136" t="n">
        <f aca="false">IF(M80=3,1,0)</f>
        <v>1</v>
      </c>
      <c r="R80" s="137" t="n">
        <f aca="false">IF(M80=4,1,0)</f>
        <v>0</v>
      </c>
      <c r="S80" s="152"/>
      <c r="T80" s="149"/>
      <c r="U80" s="56"/>
    </row>
    <row r="81" customFormat="false" ht="20.1" hidden="true" customHeight="true" outlineLevel="1" collapsed="false">
      <c r="B81" s="56"/>
      <c r="C81" s="149"/>
      <c r="D81" s="149"/>
      <c r="E81" s="149"/>
      <c r="F81" s="155"/>
      <c r="G81" s="155"/>
      <c r="H81" s="149"/>
      <c r="I81" s="156" t="s">
        <v>94</v>
      </c>
      <c r="J81" s="141" t="n">
        <f aca="false">MAX(J77:J80)</f>
        <v>145</v>
      </c>
      <c r="K81" s="157"/>
      <c r="L81" s="152"/>
      <c r="M81" s="149"/>
      <c r="N81" s="144" t="s">
        <v>95</v>
      </c>
      <c r="O81" s="145" t="n">
        <f aca="false">SUM(O77:O80)</f>
        <v>1</v>
      </c>
      <c r="P81" s="146" t="n">
        <f aca="false">SUM(P77:P80)</f>
        <v>1</v>
      </c>
      <c r="Q81" s="145" t="n">
        <f aca="false">SUM(Q77:Q80)</f>
        <v>1</v>
      </c>
      <c r="R81" s="158" t="n">
        <f aca="false">SUM(R77:R80)</f>
        <v>1</v>
      </c>
      <c r="S81" s="159"/>
      <c r="T81" s="149"/>
      <c r="U81" s="56"/>
    </row>
    <row r="82" customFormat="false" ht="20.1" hidden="false" customHeight="true" outlineLevel="0" collapsed="false">
      <c r="B82" s="56"/>
      <c r="C82" s="149"/>
      <c r="D82" s="149"/>
      <c r="E82" s="149"/>
      <c r="F82" s="149"/>
      <c r="G82" s="149"/>
      <c r="H82" s="149"/>
      <c r="I82" s="149"/>
      <c r="J82" s="149"/>
      <c r="K82" s="149"/>
      <c r="L82" s="149"/>
      <c r="M82" s="149"/>
      <c r="N82" s="149"/>
      <c r="O82" s="149"/>
      <c r="P82" s="149"/>
      <c r="Q82" s="149"/>
      <c r="R82" s="149"/>
      <c r="S82" s="149"/>
      <c r="T82" s="149"/>
      <c r="U82" s="56"/>
    </row>
    <row r="83" customFormat="false" ht="20.1" hidden="false" customHeight="true" outlineLevel="0" collapsed="false">
      <c r="B83" s="56"/>
      <c r="D83" s="45"/>
      <c r="E83" s="45"/>
      <c r="F83" s="45"/>
      <c r="G83" s="45"/>
      <c r="H83" s="160"/>
      <c r="I83" s="45"/>
      <c r="J83" s="45"/>
      <c r="U83" s="56"/>
    </row>
    <row r="84" customFormat="false" ht="20.1" hidden="false" customHeight="true" outlineLevel="0" collapsed="false">
      <c r="B84" s="56"/>
      <c r="C84" s="161"/>
      <c r="D84" s="161"/>
      <c r="E84" s="162" t="str">
        <f aca="false">IF(OR(M34="-",M34= ""),H34,M34)</f>
        <v>Terraforming Mars</v>
      </c>
      <c r="F84" s="162"/>
      <c r="G84" s="162"/>
      <c r="H84" s="162"/>
      <c r="I84" s="162"/>
      <c r="J84" s="162"/>
      <c r="K84" s="162"/>
      <c r="L84" s="162"/>
      <c r="M84" s="162"/>
      <c r="N84" s="162"/>
      <c r="O84" s="163"/>
      <c r="P84" s="163"/>
      <c r="Q84" s="163"/>
      <c r="R84" s="163"/>
      <c r="S84" s="163"/>
      <c r="T84" s="161"/>
      <c r="U84" s="164"/>
      <c r="V84" s="165"/>
      <c r="W84" s="165"/>
    </row>
    <row r="85" customFormat="false" ht="50.1" hidden="false" customHeight="true" outlineLevel="0" collapsed="false">
      <c r="B85" s="56"/>
      <c r="C85" s="161"/>
      <c r="D85" s="163"/>
      <c r="E85" s="59" t="s">
        <v>48</v>
      </c>
      <c r="F85" s="109" t="s">
        <v>80</v>
      </c>
      <c r="G85" s="61" t="s">
        <v>81</v>
      </c>
      <c r="H85" s="60" t="s">
        <v>82</v>
      </c>
      <c r="I85" s="6" t="s">
        <v>83</v>
      </c>
      <c r="J85" s="60" t="s">
        <v>84</v>
      </c>
      <c r="K85" s="110" t="s">
        <v>85</v>
      </c>
      <c r="L85" s="60" t="s">
        <v>86</v>
      </c>
      <c r="M85" s="111" t="s">
        <v>87</v>
      </c>
      <c r="N85" s="61" t="s">
        <v>88</v>
      </c>
      <c r="O85" s="112" t="s">
        <v>89</v>
      </c>
      <c r="P85" s="113" t="s">
        <v>90</v>
      </c>
      <c r="Q85" s="113" t="s">
        <v>91</v>
      </c>
      <c r="R85" s="12" t="s">
        <v>92</v>
      </c>
      <c r="S85" s="163"/>
      <c r="T85" s="161"/>
      <c r="U85" s="164"/>
      <c r="V85" s="165"/>
      <c r="W85" s="165"/>
    </row>
    <row r="86" customFormat="false" ht="20.1" hidden="false" customHeight="true" outlineLevel="0" collapsed="false">
      <c r="B86" s="56"/>
      <c r="C86" s="161"/>
      <c r="D86" s="161"/>
      <c r="E86" s="67" t="s">
        <v>17</v>
      </c>
      <c r="F86" s="14" t="s">
        <v>18</v>
      </c>
      <c r="G86" s="258" t="n">
        <v>3</v>
      </c>
      <c r="H86" s="258" t="s">
        <v>273</v>
      </c>
      <c r="I86" s="258" t="n">
        <v>20</v>
      </c>
      <c r="J86" s="258" t="n">
        <v>85</v>
      </c>
      <c r="K86" s="258" t="s">
        <v>62</v>
      </c>
      <c r="L86" s="259" t="n">
        <f aca="false">IF(J86="",0,(J86/J90)*100)</f>
        <v>83.3333333333333</v>
      </c>
      <c r="M86" s="258" t="n">
        <v>3</v>
      </c>
      <c r="N86" s="260" t="n">
        <v>1</v>
      </c>
      <c r="O86" s="116" t="n">
        <f aca="false">IF(M86=1,1,0)</f>
        <v>0</v>
      </c>
      <c r="P86" s="117" t="n">
        <f aca="false">IF(M86=2,1,0)</f>
        <v>0</v>
      </c>
      <c r="Q86" s="117" t="n">
        <f aca="false">IF(M86=3,1,0)</f>
        <v>1</v>
      </c>
      <c r="R86" s="118" t="n">
        <f aca="false">IF(M86=4,1,0)</f>
        <v>0</v>
      </c>
      <c r="S86" s="166"/>
      <c r="T86" s="161"/>
      <c r="U86" s="56"/>
    </row>
    <row r="87" customFormat="false" ht="20.1" hidden="false" customHeight="true" outlineLevel="0" collapsed="false">
      <c r="B87" s="56"/>
      <c r="C87" s="161"/>
      <c r="D87" s="167"/>
      <c r="E87" s="77" t="s">
        <v>11</v>
      </c>
      <c r="F87" s="29" t="s">
        <v>12</v>
      </c>
      <c r="G87" s="248" t="n">
        <v>2</v>
      </c>
      <c r="H87" s="248" t="s">
        <v>274</v>
      </c>
      <c r="I87" s="248" t="n">
        <v>20</v>
      </c>
      <c r="J87" s="248" t="n">
        <v>72</v>
      </c>
      <c r="K87" s="248" t="s">
        <v>62</v>
      </c>
      <c r="L87" s="250" t="n">
        <f aca="false">IF(J87="",0,(J87/J90)*100)</f>
        <v>70.5882352941177</v>
      </c>
      <c r="M87" s="248" t="n">
        <v>4</v>
      </c>
      <c r="N87" s="251" t="n">
        <v>0</v>
      </c>
      <c r="O87" s="123" t="n">
        <f aca="false">IF(M87=1,1,0)</f>
        <v>0</v>
      </c>
      <c r="P87" s="124" t="n">
        <f aca="false">IF(M87=2,1,0)</f>
        <v>0</v>
      </c>
      <c r="Q87" s="124" t="n">
        <f aca="false">IF(M87=3,1,0)</f>
        <v>0</v>
      </c>
      <c r="R87" s="125" t="n">
        <f aca="false">IF(M87=4,1,0)</f>
        <v>1</v>
      </c>
      <c r="S87" s="166"/>
      <c r="T87" s="161"/>
      <c r="U87" s="168"/>
    </row>
    <row r="88" customFormat="false" ht="20.1" hidden="false" customHeight="true" outlineLevel="0" collapsed="false">
      <c r="B88" s="56"/>
      <c r="C88" s="161"/>
      <c r="D88" s="161"/>
      <c r="E88" s="126" t="s">
        <v>22</v>
      </c>
      <c r="F88" s="127" t="s">
        <v>23</v>
      </c>
      <c r="G88" s="128" t="n">
        <v>4</v>
      </c>
      <c r="H88" s="128" t="s">
        <v>275</v>
      </c>
      <c r="I88" s="128" t="n">
        <v>20</v>
      </c>
      <c r="J88" s="128" t="n">
        <v>102</v>
      </c>
      <c r="K88" s="128" t="s">
        <v>62</v>
      </c>
      <c r="L88" s="129" t="n">
        <f aca="false">IF(J88="",0,(J88/J90)*100)</f>
        <v>100</v>
      </c>
      <c r="M88" s="128" t="n">
        <v>1</v>
      </c>
      <c r="N88" s="130" t="n">
        <v>6</v>
      </c>
      <c r="O88" s="123" t="n">
        <f aca="false">IF(M88=1,1,0)</f>
        <v>1</v>
      </c>
      <c r="P88" s="124" t="n">
        <f aca="false">IF(M88=2,1,0)</f>
        <v>0</v>
      </c>
      <c r="Q88" s="124" t="n">
        <f aca="false">IF(M88=3,1,0)</f>
        <v>0</v>
      </c>
      <c r="R88" s="125" t="n">
        <f aca="false">IF(M88=4,1,0)</f>
        <v>0</v>
      </c>
      <c r="S88" s="166"/>
      <c r="T88" s="161"/>
      <c r="U88" s="168"/>
    </row>
    <row r="89" customFormat="false" ht="20.1" hidden="false" customHeight="true" outlineLevel="0" collapsed="false">
      <c r="B89" s="56"/>
      <c r="C89" s="161"/>
      <c r="D89" s="161"/>
      <c r="E89" s="252" t="s">
        <v>37</v>
      </c>
      <c r="F89" s="39" t="s">
        <v>38</v>
      </c>
      <c r="G89" s="253" t="n">
        <v>1</v>
      </c>
      <c r="H89" s="253" t="s">
        <v>276</v>
      </c>
      <c r="I89" s="253" t="n">
        <v>20</v>
      </c>
      <c r="J89" s="253" t="n">
        <v>88</v>
      </c>
      <c r="K89" s="253" t="s">
        <v>62</v>
      </c>
      <c r="L89" s="255" t="n">
        <f aca="false">IF(J89="",0,(J89/J90)*100)</f>
        <v>86.2745098039216</v>
      </c>
      <c r="M89" s="253" t="n">
        <v>2</v>
      </c>
      <c r="N89" s="256" t="n">
        <v>3</v>
      </c>
      <c r="O89" s="135" t="n">
        <f aca="false">IF(M89=1,1,0)</f>
        <v>0</v>
      </c>
      <c r="P89" s="136" t="n">
        <f aca="false">IF(M89=2,1,0)</f>
        <v>1</v>
      </c>
      <c r="Q89" s="136" t="n">
        <f aca="false">IF(M89=3,1,0)</f>
        <v>0</v>
      </c>
      <c r="R89" s="137" t="n">
        <f aca="false">IF(M89=4,1,0)</f>
        <v>0</v>
      </c>
      <c r="S89" s="166"/>
      <c r="T89" s="161"/>
      <c r="U89" s="168"/>
    </row>
    <row r="90" customFormat="false" ht="20.1" hidden="true" customHeight="true" outlineLevel="1" collapsed="false">
      <c r="B90" s="56"/>
      <c r="C90" s="161"/>
      <c r="D90" s="161"/>
      <c r="E90" s="161"/>
      <c r="F90" s="169"/>
      <c r="G90" s="169"/>
      <c r="H90" s="161"/>
      <c r="I90" s="170" t="s">
        <v>94</v>
      </c>
      <c r="J90" s="141" t="n">
        <f aca="false">MAX(J86:J89)</f>
        <v>102</v>
      </c>
      <c r="K90" s="171"/>
      <c r="L90" s="166"/>
      <c r="M90" s="161"/>
      <c r="N90" s="144"/>
      <c r="O90" s="145" t="n">
        <f aca="false">SUM(O86:O89)</f>
        <v>1</v>
      </c>
      <c r="P90" s="146" t="n">
        <f aca="false">SUM(P86:P89)</f>
        <v>1</v>
      </c>
      <c r="Q90" s="145" t="n">
        <f aca="false">SUM(Q86:Q89)</f>
        <v>1</v>
      </c>
      <c r="R90" s="158" t="n">
        <f aca="false">SUM(R86:R89)</f>
        <v>1</v>
      </c>
      <c r="S90" s="172"/>
      <c r="T90" s="161"/>
      <c r="U90" s="168"/>
    </row>
    <row r="91" customFormat="false" ht="20.1" hidden="false" customHeight="true" outlineLevel="0" collapsed="false">
      <c r="B91" s="56"/>
      <c r="C91" s="161"/>
      <c r="D91" s="161"/>
      <c r="E91" s="161"/>
      <c r="F91" s="161"/>
      <c r="G91" s="161"/>
      <c r="H91" s="161"/>
      <c r="I91" s="161"/>
      <c r="J91" s="161"/>
      <c r="K91" s="161"/>
      <c r="L91" s="161"/>
      <c r="M91" s="161"/>
      <c r="N91" s="161"/>
      <c r="O91" s="161"/>
      <c r="P91" s="161"/>
      <c r="Q91" s="161"/>
      <c r="R91" s="161"/>
      <c r="S91" s="161"/>
      <c r="T91" s="161"/>
      <c r="U91" s="168"/>
    </row>
    <row r="92" customFormat="false" ht="20.1" hidden="false" customHeight="true" outlineLevel="0" collapsed="false">
      <c r="B92" s="56"/>
      <c r="D92" s="45"/>
      <c r="E92" s="45"/>
      <c r="F92" s="45"/>
      <c r="G92" s="45"/>
      <c r="H92" s="160"/>
      <c r="I92" s="45"/>
      <c r="J92" s="45"/>
      <c r="K92" s="45"/>
      <c r="U92" s="56"/>
    </row>
    <row r="93" customFormat="false" ht="20.1" hidden="false" customHeight="true" outlineLevel="0" collapsed="false">
      <c r="B93" s="56"/>
      <c r="C93" s="173"/>
      <c r="D93" s="173"/>
      <c r="E93" s="174" t="str">
        <f aca="false">IF(OR(M64="-",M64= ""),H64,M64)</f>
        <v>Lewis &amp; Clark</v>
      </c>
      <c r="F93" s="174"/>
      <c r="G93" s="174"/>
      <c r="H93" s="174"/>
      <c r="I93" s="174"/>
      <c r="J93" s="174"/>
      <c r="K93" s="174"/>
      <c r="L93" s="174"/>
      <c r="M93" s="174"/>
      <c r="N93" s="174"/>
      <c r="O93" s="175"/>
      <c r="P93" s="175"/>
      <c r="Q93" s="175"/>
      <c r="R93" s="175"/>
      <c r="S93" s="175"/>
      <c r="T93" s="173"/>
      <c r="U93" s="56"/>
    </row>
    <row r="94" customFormat="false" ht="50.1" hidden="false" customHeight="true" outlineLevel="0" collapsed="false">
      <c r="B94" s="56"/>
      <c r="C94" s="173"/>
      <c r="D94" s="175"/>
      <c r="E94" s="59" t="s">
        <v>48</v>
      </c>
      <c r="F94" s="109" t="s">
        <v>80</v>
      </c>
      <c r="G94" s="61" t="s">
        <v>81</v>
      </c>
      <c r="H94" s="60" t="s">
        <v>82</v>
      </c>
      <c r="I94" s="6" t="s">
        <v>83</v>
      </c>
      <c r="J94" s="60" t="s">
        <v>84</v>
      </c>
      <c r="K94" s="110" t="s">
        <v>85</v>
      </c>
      <c r="L94" s="60" t="s">
        <v>86</v>
      </c>
      <c r="M94" s="111" t="s">
        <v>87</v>
      </c>
      <c r="N94" s="61" t="s">
        <v>88</v>
      </c>
      <c r="O94" s="112" t="s">
        <v>89</v>
      </c>
      <c r="P94" s="113" t="s">
        <v>90</v>
      </c>
      <c r="Q94" s="113" t="s">
        <v>91</v>
      </c>
      <c r="R94" s="12" t="s">
        <v>92</v>
      </c>
      <c r="S94" s="175"/>
      <c r="T94" s="173"/>
      <c r="U94" s="56"/>
    </row>
    <row r="95" customFormat="false" ht="20.1" hidden="false" customHeight="true" outlineLevel="0" collapsed="false">
      <c r="B95" s="56"/>
      <c r="C95" s="173"/>
      <c r="D95" s="173"/>
      <c r="E95" s="67" t="s">
        <v>17</v>
      </c>
      <c r="F95" s="14" t="s">
        <v>18</v>
      </c>
      <c r="G95" s="258" t="n">
        <v>4</v>
      </c>
      <c r="H95" s="258" t="s">
        <v>62</v>
      </c>
      <c r="I95" s="258" t="n">
        <v>0</v>
      </c>
      <c r="J95" s="258" t="n">
        <v>28</v>
      </c>
      <c r="K95" s="258" t="s">
        <v>62</v>
      </c>
      <c r="L95" s="259" t="n">
        <f aca="false">IF(J95="",0,(J95/J99)*100)</f>
        <v>87.5</v>
      </c>
      <c r="M95" s="258" t="n">
        <v>4</v>
      </c>
      <c r="N95" s="260" t="n">
        <v>0</v>
      </c>
      <c r="O95" s="116" t="n">
        <f aca="false">IF(M95=1,1,0)</f>
        <v>0</v>
      </c>
      <c r="P95" s="117" t="n">
        <f aca="false">IF(M95=2,1,0)</f>
        <v>0</v>
      </c>
      <c r="Q95" s="117" t="n">
        <f aca="false">IF(M95=3,1,0)</f>
        <v>0</v>
      </c>
      <c r="R95" s="118" t="n">
        <f aca="false">IF(M95=4,1,0)</f>
        <v>1</v>
      </c>
      <c r="S95" s="176"/>
      <c r="T95" s="173"/>
      <c r="U95" s="56"/>
    </row>
    <row r="96" customFormat="false" ht="20.1" hidden="false" customHeight="true" outlineLevel="0" collapsed="false">
      <c r="B96" s="56"/>
      <c r="C96" s="173"/>
      <c r="D96" s="173"/>
      <c r="E96" s="77" t="s">
        <v>11</v>
      </c>
      <c r="F96" s="29" t="s">
        <v>12</v>
      </c>
      <c r="G96" s="248" t="n">
        <v>2</v>
      </c>
      <c r="H96" s="248" t="s">
        <v>62</v>
      </c>
      <c r="I96" s="248" t="n">
        <v>0</v>
      </c>
      <c r="J96" s="248" t="n">
        <v>30</v>
      </c>
      <c r="K96" s="248" t="s">
        <v>62</v>
      </c>
      <c r="L96" s="250" t="n">
        <f aca="false">IF(J96="",0,(J96/J99)*100)</f>
        <v>93.75</v>
      </c>
      <c r="M96" s="248" t="n">
        <v>2</v>
      </c>
      <c r="N96" s="251" t="n">
        <v>3</v>
      </c>
      <c r="O96" s="123" t="n">
        <f aca="false">IF(M96=1,1,0)</f>
        <v>0</v>
      </c>
      <c r="P96" s="124" t="n">
        <f aca="false">IF(M96=2,1,0)</f>
        <v>1</v>
      </c>
      <c r="Q96" s="124" t="n">
        <f aca="false">IF(M96=3,1,0)</f>
        <v>0</v>
      </c>
      <c r="R96" s="125" t="n">
        <f aca="false">IF(M96=4,1,0)</f>
        <v>0</v>
      </c>
      <c r="S96" s="176"/>
      <c r="T96" s="173"/>
      <c r="U96" s="56"/>
    </row>
    <row r="97" customFormat="false" ht="20.1" hidden="false" customHeight="true" outlineLevel="0" collapsed="false">
      <c r="B97" s="56"/>
      <c r="C97" s="173"/>
      <c r="D97" s="173"/>
      <c r="E97" s="77" t="s">
        <v>22</v>
      </c>
      <c r="F97" s="29" t="s">
        <v>23</v>
      </c>
      <c r="G97" s="248" t="n">
        <v>3</v>
      </c>
      <c r="H97" s="248" t="s">
        <v>62</v>
      </c>
      <c r="I97" s="248" t="n">
        <v>0</v>
      </c>
      <c r="J97" s="248" t="n">
        <v>29</v>
      </c>
      <c r="K97" s="248" t="s">
        <v>62</v>
      </c>
      <c r="L97" s="250" t="n">
        <f aca="false">IF(J97="",0,(J97/J99)*100)</f>
        <v>90.625</v>
      </c>
      <c r="M97" s="248" t="n">
        <v>3</v>
      </c>
      <c r="N97" s="251" t="n">
        <v>1</v>
      </c>
      <c r="O97" s="123" t="n">
        <f aca="false">IF(M97=1,1,0)</f>
        <v>0</v>
      </c>
      <c r="P97" s="124" t="n">
        <f aca="false">IF(M97=2,1,0)</f>
        <v>0</v>
      </c>
      <c r="Q97" s="124" t="n">
        <f aca="false">IF(M97=3,1,0)</f>
        <v>1</v>
      </c>
      <c r="R97" s="125" t="n">
        <f aca="false">IF(M97=4,1,0)</f>
        <v>0</v>
      </c>
      <c r="S97" s="176"/>
      <c r="T97" s="173"/>
      <c r="U97" s="56"/>
    </row>
    <row r="98" customFormat="false" ht="20.1" hidden="false" customHeight="true" outlineLevel="0" collapsed="false">
      <c r="B98" s="56"/>
      <c r="C98" s="173"/>
      <c r="D98" s="177"/>
      <c r="E98" s="261" t="s">
        <v>37</v>
      </c>
      <c r="F98" s="262" t="s">
        <v>38</v>
      </c>
      <c r="G98" s="263" t="n">
        <v>1</v>
      </c>
      <c r="H98" s="263" t="s">
        <v>62</v>
      </c>
      <c r="I98" s="263" t="n">
        <v>0</v>
      </c>
      <c r="J98" s="263" t="n">
        <v>32</v>
      </c>
      <c r="K98" s="263" t="s">
        <v>62</v>
      </c>
      <c r="L98" s="265" t="n">
        <f aca="false">IF(J98="",0,(J98/J99)*100)</f>
        <v>100</v>
      </c>
      <c r="M98" s="263" t="n">
        <v>1</v>
      </c>
      <c r="N98" s="266" t="n">
        <v>6</v>
      </c>
      <c r="O98" s="135" t="n">
        <f aca="false">IF(M98=1,1,0)</f>
        <v>1</v>
      </c>
      <c r="P98" s="136" t="n">
        <f aca="false">IF(M98=2,1,0)</f>
        <v>0</v>
      </c>
      <c r="Q98" s="136" t="n">
        <f aca="false">IF(M98=3,1,0)</f>
        <v>0</v>
      </c>
      <c r="R98" s="137" t="n">
        <f aca="false">IF(M98=4,1,0)</f>
        <v>0</v>
      </c>
      <c r="S98" s="176"/>
      <c r="T98" s="173"/>
      <c r="U98" s="56"/>
    </row>
    <row r="99" customFormat="false" ht="20.1" hidden="true" customHeight="true" outlineLevel="1" collapsed="false">
      <c r="B99" s="56"/>
      <c r="C99" s="173"/>
      <c r="D99" s="173"/>
      <c r="E99" s="173"/>
      <c r="F99" s="178"/>
      <c r="G99" s="178"/>
      <c r="H99" s="173"/>
      <c r="I99" s="156" t="s">
        <v>94</v>
      </c>
      <c r="J99" s="141" t="n">
        <f aca="false">MAX(J95:J98)</f>
        <v>32</v>
      </c>
      <c r="K99" s="179"/>
      <c r="L99" s="176"/>
      <c r="M99" s="173"/>
      <c r="N99" s="144" t="s">
        <v>95</v>
      </c>
      <c r="O99" s="145" t="n">
        <f aca="false">SUM(O95:O98)</f>
        <v>1</v>
      </c>
      <c r="P99" s="146" t="n">
        <f aca="false">SUM(P95:P98)</f>
        <v>1</v>
      </c>
      <c r="Q99" s="145" t="n">
        <f aca="false">SUM(Q95:Q98)</f>
        <v>1</v>
      </c>
      <c r="R99" s="158" t="n">
        <f aca="false">SUM(R95:R98)</f>
        <v>1</v>
      </c>
      <c r="S99" s="180"/>
      <c r="T99" s="173"/>
      <c r="U99" s="56"/>
    </row>
    <row r="100" customFormat="false" ht="20.1" hidden="false" customHeight="true" outlineLevel="0" collapsed="false">
      <c r="B100" s="56"/>
      <c r="C100" s="173"/>
      <c r="D100" s="173"/>
      <c r="E100" s="173"/>
      <c r="F100" s="173"/>
      <c r="G100" s="173"/>
      <c r="H100" s="173"/>
      <c r="I100" s="173"/>
      <c r="J100" s="173"/>
      <c r="K100" s="173"/>
      <c r="L100" s="173"/>
      <c r="M100" s="173"/>
      <c r="N100" s="173"/>
      <c r="O100" s="173"/>
      <c r="P100" s="173"/>
      <c r="Q100" s="173"/>
      <c r="R100" s="173"/>
      <c r="S100" s="173"/>
      <c r="T100" s="173"/>
      <c r="U100" s="56"/>
    </row>
    <row r="101" customFormat="false" ht="20.1" hidden="false" customHeight="true" outlineLevel="0" collapsed="false">
      <c r="B101" s="56"/>
      <c r="D101" s="5"/>
      <c r="E101" s="5"/>
      <c r="F101" s="5"/>
      <c r="G101" s="5"/>
      <c r="H101" s="5"/>
      <c r="I101" s="5"/>
      <c r="J101" s="5"/>
      <c r="U101" s="56"/>
    </row>
    <row r="102" customFormat="false" ht="30" hidden="false" customHeight="true" outlineLevel="0" collapsed="false">
      <c r="B102" s="56"/>
      <c r="C102" s="181"/>
      <c r="D102" s="182" t="s">
        <v>100</v>
      </c>
      <c r="E102" s="182"/>
      <c r="F102" s="182"/>
      <c r="G102" s="182"/>
      <c r="H102" s="182"/>
      <c r="I102" s="182"/>
      <c r="J102" s="182"/>
      <c r="K102" s="182"/>
      <c r="L102" s="182"/>
      <c r="M102" s="182"/>
      <c r="N102" s="182"/>
      <c r="O102" s="182"/>
      <c r="P102" s="182"/>
      <c r="Q102" s="182"/>
      <c r="R102" s="182"/>
      <c r="S102" s="182"/>
      <c r="T102" s="181"/>
      <c r="U102" s="56"/>
    </row>
    <row r="103" customFormat="false" ht="50.1" hidden="false" customHeight="true" outlineLevel="0" collapsed="false">
      <c r="B103" s="56"/>
      <c r="C103" s="181"/>
      <c r="D103" s="183" t="s">
        <v>48</v>
      </c>
      <c r="E103" s="184" t="s">
        <v>49</v>
      </c>
      <c r="F103" s="185" t="s">
        <v>88</v>
      </c>
      <c r="G103" s="186" t="s">
        <v>101</v>
      </c>
      <c r="H103" s="187" t="s">
        <v>102</v>
      </c>
      <c r="I103" s="187"/>
      <c r="J103" s="188" t="s">
        <v>103</v>
      </c>
      <c r="K103" s="189" t="s">
        <v>104</v>
      </c>
      <c r="L103" s="185" t="s">
        <v>105</v>
      </c>
      <c r="M103" s="189" t="s">
        <v>106</v>
      </c>
      <c r="N103" s="185" t="s">
        <v>107</v>
      </c>
      <c r="O103" s="190"/>
      <c r="P103" s="191"/>
      <c r="Q103" s="191"/>
      <c r="R103" s="191"/>
      <c r="S103" s="184" t="s">
        <v>108</v>
      </c>
      <c r="T103" s="181"/>
      <c r="U103" s="56"/>
    </row>
    <row r="104" customFormat="false" ht="20.1" hidden="false" customHeight="true" outlineLevel="0" collapsed="false">
      <c r="B104" s="56"/>
      <c r="C104" s="181"/>
      <c r="D104" s="192" t="s">
        <v>37</v>
      </c>
      <c r="E104" s="193" t="s">
        <v>38</v>
      </c>
      <c r="F104" s="194" t="n">
        <f aca="false">(K104*6+L104*3+M104*1+N104*0)</f>
        <v>16</v>
      </c>
      <c r="G104" s="194" t="n">
        <v>0</v>
      </c>
      <c r="H104" s="195" t="s">
        <v>62</v>
      </c>
      <c r="I104" s="195"/>
      <c r="J104" s="194" t="n">
        <f aca="false">F104+G104</f>
        <v>16</v>
      </c>
      <c r="K104" s="194" t="n">
        <v>2</v>
      </c>
      <c r="L104" s="194" t="n">
        <v>1</v>
      </c>
      <c r="M104" s="194" t="n">
        <v>1</v>
      </c>
      <c r="N104" s="194" t="n">
        <v>0</v>
      </c>
      <c r="O104" s="194"/>
      <c r="P104" s="194"/>
      <c r="Q104" s="194"/>
      <c r="R104" s="194"/>
      <c r="S104" s="196" t="n">
        <f aca="false">(L71+L80+L89+L98)/4</f>
        <v>93.9824205544287</v>
      </c>
      <c r="T104" s="181"/>
      <c r="U104" s="56"/>
      <c r="W104" s="197"/>
      <c r="X104" s="197"/>
      <c r="Y104" s="197"/>
      <c r="Z104" s="197"/>
    </row>
    <row r="105" customFormat="false" ht="20.1" hidden="false" customHeight="true" outlineLevel="0" collapsed="false">
      <c r="B105" s="56"/>
      <c r="C105" s="181"/>
      <c r="D105" s="198" t="s">
        <v>17</v>
      </c>
      <c r="E105" s="199" t="s">
        <v>18</v>
      </c>
      <c r="F105" s="200" t="n">
        <f aca="false">(K105*6+L105*3+M105*1+N105*0)</f>
        <v>10</v>
      </c>
      <c r="G105" s="200" t="n">
        <v>0</v>
      </c>
      <c r="H105" s="201" t="s">
        <v>62</v>
      </c>
      <c r="I105" s="201"/>
      <c r="J105" s="200" t="n">
        <f aca="false">F105+G105</f>
        <v>10</v>
      </c>
      <c r="K105" s="200" t="n">
        <v>1</v>
      </c>
      <c r="L105" s="200" t="n">
        <v>1</v>
      </c>
      <c r="M105" s="200" t="n">
        <v>1</v>
      </c>
      <c r="N105" s="200" t="n">
        <v>1</v>
      </c>
      <c r="O105" s="200"/>
      <c r="P105" s="200"/>
      <c r="Q105" s="200"/>
      <c r="R105" s="200"/>
      <c r="S105" s="202" t="n">
        <f aca="false">(L68+L77+L86+L95)/4</f>
        <v>92.3611111111111</v>
      </c>
      <c r="T105" s="181"/>
      <c r="U105" s="56"/>
      <c r="W105" s="203"/>
      <c r="X105" s="203"/>
      <c r="Y105" s="203"/>
      <c r="Z105" s="203"/>
    </row>
    <row r="106" customFormat="false" ht="20.1" hidden="false" customHeight="true" outlineLevel="0" collapsed="false">
      <c r="B106" s="56"/>
      <c r="C106" s="181"/>
      <c r="D106" s="198" t="s">
        <v>22</v>
      </c>
      <c r="E106" s="199" t="s">
        <v>23</v>
      </c>
      <c r="F106" s="200" t="n">
        <f aca="false">(K106*6+L106*3+M106*1+N106*0)</f>
        <v>7</v>
      </c>
      <c r="G106" s="200" t="n">
        <v>0</v>
      </c>
      <c r="H106" s="201" t="s">
        <v>62</v>
      </c>
      <c r="I106" s="201"/>
      <c r="J106" s="200" t="n">
        <f aca="false">F106+G106</f>
        <v>7</v>
      </c>
      <c r="K106" s="200" t="n">
        <v>1</v>
      </c>
      <c r="L106" s="200" t="n">
        <v>0</v>
      </c>
      <c r="M106" s="200" t="n">
        <v>1</v>
      </c>
      <c r="N106" s="200" t="n">
        <v>2</v>
      </c>
      <c r="O106" s="200"/>
      <c r="P106" s="200"/>
      <c r="Q106" s="200"/>
      <c r="R106" s="200"/>
      <c r="S106" s="202" t="n">
        <f aca="false">(L70+L79+L88+L97)/4</f>
        <v>74.9718630268199</v>
      </c>
      <c r="T106" s="181"/>
      <c r="U106" s="56"/>
      <c r="W106" s="203"/>
      <c r="X106" s="203"/>
      <c r="Y106" s="203"/>
      <c r="Z106" s="203"/>
    </row>
    <row r="107" customFormat="false" ht="20.1" hidden="false" customHeight="true" outlineLevel="0" collapsed="false">
      <c r="B107" s="56"/>
      <c r="C107" s="181"/>
      <c r="D107" s="204" t="s">
        <v>11</v>
      </c>
      <c r="E107" s="205" t="s">
        <v>12</v>
      </c>
      <c r="F107" s="206" t="n">
        <f aca="false">(K107*6+L107*3+M107*1+N107*0)</f>
        <v>7</v>
      </c>
      <c r="G107" s="206" t="n">
        <v>0</v>
      </c>
      <c r="H107" s="207" t="s">
        <v>62</v>
      </c>
      <c r="I107" s="207"/>
      <c r="J107" s="206" t="n">
        <f aca="false">F107+G107</f>
        <v>7</v>
      </c>
      <c r="K107" s="206" t="n">
        <v>0</v>
      </c>
      <c r="L107" s="206" t="n">
        <v>2</v>
      </c>
      <c r="M107" s="206" t="n">
        <v>1</v>
      </c>
      <c r="N107" s="206" t="n">
        <v>1</v>
      </c>
      <c r="O107" s="206"/>
      <c r="P107" s="206"/>
      <c r="Q107" s="206"/>
      <c r="R107" s="206"/>
      <c r="S107" s="208" t="n">
        <f aca="false">(L69+L78+L87+L96)/4</f>
        <v>89.1808231913455</v>
      </c>
      <c r="T107" s="181"/>
      <c r="U107" s="56"/>
      <c r="W107" s="203"/>
      <c r="X107" s="203"/>
      <c r="Y107" s="203"/>
      <c r="Z107" s="203"/>
      <c r="AB107" s="203"/>
      <c r="AC107" s="203"/>
      <c r="AD107" s="203"/>
      <c r="AE107" s="203"/>
    </row>
    <row r="108" customFormat="false" ht="20.1" hidden="false" customHeight="true" outlineLevel="0" collapsed="false">
      <c r="B108" s="56"/>
      <c r="C108" s="181"/>
      <c r="D108" s="209"/>
      <c r="E108" s="209"/>
      <c r="F108" s="210"/>
      <c r="G108" s="210"/>
      <c r="H108" s="211"/>
      <c r="I108" s="211"/>
      <c r="J108" s="210"/>
      <c r="K108" s="210"/>
      <c r="L108" s="210"/>
      <c r="M108" s="210"/>
      <c r="N108" s="210"/>
      <c r="O108" s="210"/>
      <c r="P108" s="210"/>
      <c r="Q108" s="210"/>
      <c r="R108" s="210"/>
      <c r="S108" s="212"/>
      <c r="T108" s="181"/>
      <c r="U108" s="56"/>
      <c r="W108" s="203"/>
      <c r="X108" s="203"/>
      <c r="Y108" s="203"/>
      <c r="Z108" s="203"/>
    </row>
    <row r="109" customFormat="false" ht="20.1" hidden="false" customHeight="true" outlineLevel="0" collapsed="false">
      <c r="B109" s="56"/>
      <c r="C109" s="56"/>
      <c r="D109" s="213"/>
      <c r="E109" s="213"/>
      <c r="F109" s="164"/>
      <c r="G109" s="164"/>
      <c r="H109" s="213"/>
      <c r="I109" s="213"/>
      <c r="J109" s="213"/>
      <c r="K109" s="56"/>
      <c r="L109" s="56"/>
      <c r="M109" s="56"/>
      <c r="N109" s="56"/>
      <c r="O109" s="56"/>
      <c r="P109" s="56"/>
      <c r="Q109" s="56"/>
      <c r="R109" s="56"/>
      <c r="S109" s="56"/>
      <c r="T109" s="56"/>
      <c r="U109" s="56"/>
    </row>
    <row r="110" customFormat="false" ht="20.1" hidden="false" customHeight="true" outlineLevel="0" collapsed="false">
      <c r="D110" s="214"/>
    </row>
    <row r="111" customFormat="false" ht="20.1" hidden="false" customHeight="true" outlineLevel="0" collapsed="false">
      <c r="D111" s="215"/>
    </row>
    <row r="112" customFormat="false" ht="20.1" hidden="false" customHeight="true" outlineLevel="0" collapsed="false">
      <c r="B112" s="56"/>
      <c r="C112" s="56"/>
      <c r="D112" s="57"/>
      <c r="E112" s="57"/>
      <c r="F112" s="57"/>
      <c r="G112" s="57"/>
      <c r="H112" s="56"/>
      <c r="I112" s="56"/>
      <c r="J112" s="56"/>
      <c r="K112" s="56"/>
      <c r="L112" s="56"/>
      <c r="M112" s="56"/>
      <c r="N112" s="56"/>
      <c r="O112" s="56"/>
      <c r="P112" s="56"/>
      <c r="Q112" s="56"/>
      <c r="R112" s="56"/>
      <c r="S112" s="56"/>
      <c r="T112" s="56"/>
      <c r="U112" s="56"/>
    </row>
    <row r="113" customFormat="false" ht="30" hidden="false" customHeight="true" outlineLevel="0" collapsed="false">
      <c r="B113" s="56"/>
      <c r="C113" s="58" t="s">
        <v>109</v>
      </c>
      <c r="D113" s="58"/>
      <c r="E113" s="58"/>
      <c r="F113" s="58"/>
      <c r="G113" s="58"/>
      <c r="H113" s="58"/>
      <c r="I113" s="58"/>
      <c r="J113" s="58"/>
      <c r="K113" s="58"/>
      <c r="L113" s="58"/>
      <c r="M113" s="58"/>
      <c r="N113" s="58"/>
      <c r="O113" s="58"/>
      <c r="P113" s="58"/>
      <c r="Q113" s="58"/>
      <c r="R113" s="58"/>
      <c r="S113" s="58"/>
      <c r="T113" s="58"/>
      <c r="U113" s="56"/>
    </row>
    <row r="114" customFormat="false" ht="20.1" hidden="false" customHeight="true" outlineLevel="0" collapsed="false">
      <c r="B114" s="56"/>
      <c r="U114" s="56"/>
    </row>
    <row r="115" customFormat="false" ht="20.1" hidden="false" customHeight="true" outlineLevel="0" collapsed="false">
      <c r="B115" s="56"/>
      <c r="D115" s="59" t="s">
        <v>48</v>
      </c>
      <c r="E115" s="60" t="s">
        <v>49</v>
      </c>
      <c r="F115" s="61" t="s">
        <v>10</v>
      </c>
      <c r="G115" s="216" t="s">
        <v>50</v>
      </c>
      <c r="H115" s="216"/>
      <c r="I115" s="216"/>
      <c r="J115" s="216"/>
      <c r="K115" s="60" t="s">
        <v>51</v>
      </c>
      <c r="L115" s="62" t="s">
        <v>52</v>
      </c>
      <c r="M115" s="62"/>
      <c r="N115" s="62"/>
      <c r="O115" s="62"/>
      <c r="P115" s="62"/>
      <c r="Q115" s="62"/>
      <c r="R115" s="62"/>
      <c r="S115" s="62"/>
      <c r="U115" s="56"/>
    </row>
    <row r="116" customFormat="false" ht="20.1" hidden="false" customHeight="true" outlineLevel="0" collapsed="false">
      <c r="B116" s="56"/>
      <c r="D116" s="59"/>
      <c r="E116" s="60"/>
      <c r="F116" s="60"/>
      <c r="G116" s="66" t="s">
        <v>53</v>
      </c>
      <c r="H116" s="65" t="s">
        <v>54</v>
      </c>
      <c r="I116" s="61" t="s">
        <v>55</v>
      </c>
      <c r="J116" s="61"/>
      <c r="K116" s="65" t="s">
        <v>56</v>
      </c>
      <c r="L116" s="217" t="s">
        <v>53</v>
      </c>
      <c r="M116" s="218" t="s">
        <v>57</v>
      </c>
      <c r="N116" s="61" t="s">
        <v>55</v>
      </c>
      <c r="O116" s="61"/>
      <c r="P116" s="61"/>
      <c r="Q116" s="61"/>
      <c r="R116" s="61"/>
      <c r="S116" s="61"/>
      <c r="U116" s="56"/>
    </row>
    <row r="117" customFormat="false" ht="20.1" hidden="false" customHeight="true" outlineLevel="0" collapsed="false">
      <c r="B117" s="56"/>
      <c r="D117" s="390" t="s">
        <v>15</v>
      </c>
      <c r="E117" s="405" t="s">
        <v>16</v>
      </c>
      <c r="F117" s="406" t="n">
        <v>1</v>
      </c>
      <c r="G117" s="407" t="s">
        <v>58</v>
      </c>
      <c r="H117" s="408" t="s">
        <v>277</v>
      </c>
      <c r="I117" s="70" t="s">
        <v>278</v>
      </c>
      <c r="J117" s="70"/>
      <c r="K117" s="409" t="s">
        <v>67</v>
      </c>
      <c r="L117" s="394" t="s">
        <v>62</v>
      </c>
      <c r="M117" s="395" t="s">
        <v>62</v>
      </c>
      <c r="N117" s="220" t="s">
        <v>62</v>
      </c>
      <c r="O117" s="220"/>
      <c r="P117" s="220"/>
      <c r="Q117" s="220"/>
      <c r="R117" s="220"/>
      <c r="S117" s="220"/>
      <c r="U117" s="56"/>
    </row>
    <row r="118" customFormat="false" ht="15" hidden="false" customHeight="true" outlineLevel="0" collapsed="false">
      <c r="B118" s="56"/>
      <c r="D118" s="120" t="s">
        <v>20</v>
      </c>
      <c r="E118" s="29" t="s">
        <v>21</v>
      </c>
      <c r="F118" s="26" t="n">
        <v>2</v>
      </c>
      <c r="G118" s="78" t="s">
        <v>58</v>
      </c>
      <c r="H118" s="79" t="s">
        <v>61</v>
      </c>
      <c r="I118" s="80" t="s">
        <v>74</v>
      </c>
      <c r="J118" s="80"/>
      <c r="K118" s="410" t="s">
        <v>67</v>
      </c>
      <c r="L118" s="296" t="s">
        <v>62</v>
      </c>
      <c r="M118" s="83" t="s">
        <v>62</v>
      </c>
      <c r="N118" s="84" t="s">
        <v>62</v>
      </c>
      <c r="O118" s="84"/>
      <c r="P118" s="84"/>
      <c r="Q118" s="84"/>
      <c r="R118" s="84"/>
      <c r="S118" s="84"/>
      <c r="U118" s="56"/>
    </row>
    <row r="119" customFormat="false" ht="15" hidden="false" customHeight="true" outlineLevel="0" collapsed="false">
      <c r="B119" s="56"/>
      <c r="D119" s="120"/>
      <c r="E119" s="29"/>
      <c r="F119" s="26"/>
      <c r="G119" s="78"/>
      <c r="H119" s="79"/>
      <c r="I119" s="85" t="s">
        <v>77</v>
      </c>
      <c r="J119" s="85"/>
      <c r="K119" s="410"/>
      <c r="L119" s="296"/>
      <c r="M119" s="83"/>
      <c r="N119" s="84"/>
      <c r="O119" s="84"/>
      <c r="P119" s="84"/>
      <c r="Q119" s="84"/>
      <c r="R119" s="84"/>
      <c r="S119" s="84"/>
      <c r="U119" s="56"/>
    </row>
    <row r="120" customFormat="false" ht="15" hidden="false" customHeight="true" outlineLevel="0" collapsed="false">
      <c r="B120" s="56"/>
      <c r="D120" s="77" t="s">
        <v>26</v>
      </c>
      <c r="E120" s="23" t="s">
        <v>27</v>
      </c>
      <c r="F120" s="26" t="n">
        <v>3</v>
      </c>
      <c r="G120" s="230" t="s">
        <v>58</v>
      </c>
      <c r="H120" s="231" t="s">
        <v>67</v>
      </c>
      <c r="I120" s="91" t="s">
        <v>70</v>
      </c>
      <c r="J120" s="91"/>
      <c r="K120" s="300" t="s">
        <v>113</v>
      </c>
      <c r="L120" s="230" t="s">
        <v>58</v>
      </c>
      <c r="M120" s="231" t="s">
        <v>279</v>
      </c>
      <c r="N120" s="91" t="s">
        <v>280</v>
      </c>
      <c r="O120" s="91"/>
      <c r="P120" s="91"/>
      <c r="Q120" s="91"/>
      <c r="R120" s="91"/>
      <c r="S120" s="91"/>
      <c r="U120" s="56"/>
    </row>
    <row r="121" customFormat="false" ht="15" hidden="false" customHeight="true" outlineLevel="0" collapsed="false">
      <c r="B121" s="56"/>
      <c r="D121" s="77"/>
      <c r="E121" s="23"/>
      <c r="F121" s="26"/>
      <c r="G121" s="230"/>
      <c r="H121" s="231"/>
      <c r="I121" s="96" t="s">
        <v>73</v>
      </c>
      <c r="J121" s="96"/>
      <c r="K121" s="300"/>
      <c r="L121" s="230"/>
      <c r="M121" s="231"/>
      <c r="N121" s="96" t="s">
        <v>281</v>
      </c>
      <c r="O121" s="96"/>
      <c r="P121" s="96"/>
      <c r="Q121" s="96"/>
      <c r="R121" s="96"/>
      <c r="S121" s="96"/>
      <c r="U121" s="56"/>
    </row>
    <row r="122" customFormat="false" ht="27.95" hidden="false" customHeight="true" outlineLevel="0" collapsed="false">
      <c r="B122" s="56"/>
      <c r="D122" s="77"/>
      <c r="E122" s="23"/>
      <c r="F122" s="26"/>
      <c r="G122" s="230"/>
      <c r="H122" s="231"/>
      <c r="I122" s="402"/>
      <c r="J122" s="402"/>
      <c r="K122" s="300"/>
      <c r="L122" s="230"/>
      <c r="M122" s="231"/>
      <c r="N122" s="96" t="s">
        <v>282</v>
      </c>
      <c r="O122" s="96"/>
      <c r="P122" s="96"/>
      <c r="Q122" s="96"/>
      <c r="R122" s="96"/>
      <c r="S122" s="96"/>
      <c r="U122" s="56"/>
    </row>
    <row r="123" customFormat="false" ht="15" hidden="false" customHeight="true" outlineLevel="0" collapsed="false">
      <c r="B123" s="56"/>
      <c r="D123" s="77"/>
      <c r="E123" s="23"/>
      <c r="F123" s="26"/>
      <c r="G123" s="230"/>
      <c r="H123" s="231"/>
      <c r="I123" s="96"/>
      <c r="J123" s="96"/>
      <c r="K123" s="300"/>
      <c r="L123" s="230"/>
      <c r="M123" s="231"/>
      <c r="N123" s="96" t="s">
        <v>283</v>
      </c>
      <c r="O123" s="96"/>
      <c r="P123" s="96"/>
      <c r="Q123" s="96"/>
      <c r="R123" s="96"/>
      <c r="S123" s="96"/>
      <c r="U123" s="56"/>
    </row>
    <row r="124" customFormat="false" ht="15" hidden="false" customHeight="true" outlineLevel="0" collapsed="false">
      <c r="B124" s="56"/>
      <c r="D124" s="77"/>
      <c r="E124" s="23"/>
      <c r="F124" s="26"/>
      <c r="G124" s="230"/>
      <c r="H124" s="231"/>
      <c r="I124" s="324"/>
      <c r="J124" s="324"/>
      <c r="K124" s="300"/>
      <c r="L124" s="230"/>
      <c r="M124" s="231"/>
      <c r="N124" s="324" t="s">
        <v>284</v>
      </c>
      <c r="O124" s="324"/>
      <c r="P124" s="324"/>
      <c r="Q124" s="324"/>
      <c r="R124" s="324"/>
      <c r="S124" s="324"/>
      <c r="U124" s="56"/>
    </row>
    <row r="125" customFormat="false" ht="30" hidden="false" customHeight="true" outlineLevel="0" collapsed="false">
      <c r="B125" s="56"/>
      <c r="D125" s="236" t="s">
        <v>33</v>
      </c>
      <c r="E125" s="39" t="s">
        <v>34</v>
      </c>
      <c r="F125" s="44" t="n">
        <v>4</v>
      </c>
      <c r="G125" s="237" t="s">
        <v>110</v>
      </c>
      <c r="H125" s="238" t="s">
        <v>285</v>
      </c>
      <c r="I125" s="104" t="s">
        <v>286</v>
      </c>
      <c r="J125" s="104"/>
      <c r="K125" s="411" t="s">
        <v>61</v>
      </c>
      <c r="L125" s="240" t="s">
        <v>62</v>
      </c>
      <c r="M125" s="241" t="s">
        <v>62</v>
      </c>
      <c r="N125" s="242" t="s">
        <v>62</v>
      </c>
      <c r="O125" s="242"/>
      <c r="P125" s="242"/>
      <c r="Q125" s="242"/>
      <c r="R125" s="242"/>
      <c r="S125" s="242"/>
      <c r="U125" s="56"/>
    </row>
    <row r="126" customFormat="false" ht="20.1" hidden="false" customHeight="true" outlineLevel="0" collapsed="false">
      <c r="B126" s="56"/>
      <c r="U126" s="56"/>
    </row>
    <row r="127" customFormat="false" ht="20.1" hidden="false" customHeight="true" outlineLevel="0" collapsed="false">
      <c r="B127" s="56"/>
      <c r="C127" s="106"/>
      <c r="D127" s="106"/>
      <c r="E127" s="107" t="str">
        <f aca="false">IF(OR(L117="-",L117= ""),H117,L117)</f>
        <v>Splendor</v>
      </c>
      <c r="F127" s="107"/>
      <c r="G127" s="107"/>
      <c r="H127" s="107"/>
      <c r="I127" s="107"/>
      <c r="J127" s="107"/>
      <c r="K127" s="107"/>
      <c r="L127" s="107"/>
      <c r="M127" s="107"/>
      <c r="N127" s="107"/>
      <c r="O127" s="108"/>
      <c r="P127" s="108"/>
      <c r="Q127" s="108"/>
      <c r="R127" s="108"/>
      <c r="S127" s="108"/>
      <c r="T127" s="106"/>
      <c r="U127" s="56"/>
    </row>
    <row r="128" customFormat="false" ht="50.1" hidden="false" customHeight="true" outlineLevel="0" collapsed="false">
      <c r="B128" s="56"/>
      <c r="C128" s="106"/>
      <c r="D128" s="108"/>
      <c r="E128" s="59" t="s">
        <v>48</v>
      </c>
      <c r="F128" s="109" t="s">
        <v>80</v>
      </c>
      <c r="G128" s="61" t="s">
        <v>81</v>
      </c>
      <c r="H128" s="60" t="s">
        <v>82</v>
      </c>
      <c r="I128" s="6" t="s">
        <v>83</v>
      </c>
      <c r="J128" s="60" t="s">
        <v>84</v>
      </c>
      <c r="K128" s="110" t="s">
        <v>85</v>
      </c>
      <c r="L128" s="60" t="s">
        <v>86</v>
      </c>
      <c r="M128" s="111" t="s">
        <v>87</v>
      </c>
      <c r="N128" s="61" t="s">
        <v>88</v>
      </c>
      <c r="O128" s="112" t="s">
        <v>89</v>
      </c>
      <c r="P128" s="113" t="s">
        <v>90</v>
      </c>
      <c r="Q128" s="113" t="s">
        <v>91</v>
      </c>
      <c r="R128" s="12" t="s">
        <v>92</v>
      </c>
      <c r="S128" s="108"/>
      <c r="T128" s="106"/>
      <c r="U128" s="56"/>
    </row>
    <row r="129" customFormat="false" ht="20.1" hidden="false" customHeight="true" outlineLevel="0" collapsed="false">
      <c r="B129" s="56"/>
      <c r="C129" s="106"/>
      <c r="D129" s="131"/>
      <c r="E129" s="243" t="s">
        <v>15</v>
      </c>
      <c r="F129" s="244" t="s">
        <v>16</v>
      </c>
      <c r="G129" s="245" t="n">
        <v>1</v>
      </c>
      <c r="H129" s="245" t="s">
        <v>62</v>
      </c>
      <c r="I129" s="245" t="n">
        <v>0</v>
      </c>
      <c r="J129" s="245" t="n">
        <v>15</v>
      </c>
      <c r="K129" s="245" t="s">
        <v>62</v>
      </c>
      <c r="L129" s="246" t="n">
        <f aca="false">IF(J129="",0,(J129/J133)*100)</f>
        <v>100</v>
      </c>
      <c r="M129" s="245" t="n">
        <v>1</v>
      </c>
      <c r="N129" s="247" t="n">
        <v>6</v>
      </c>
      <c r="O129" s="116" t="n">
        <f aca="false">IF(M129=1,1,0)</f>
        <v>1</v>
      </c>
      <c r="P129" s="117" t="n">
        <f aca="false">IF(M129=2,1,0)</f>
        <v>0</v>
      </c>
      <c r="Q129" s="117" t="n">
        <f aca="false">IF(M129=3,1,0)</f>
        <v>0</v>
      </c>
      <c r="R129" s="118" t="n">
        <f aca="false">IF(M129=4,1,0)</f>
        <v>0</v>
      </c>
      <c r="S129" s="119"/>
      <c r="T129" s="106"/>
      <c r="U129" s="56"/>
    </row>
    <row r="130" customFormat="false" ht="20.1" hidden="false" customHeight="true" outlineLevel="0" collapsed="false">
      <c r="B130" s="56"/>
      <c r="C130" s="106"/>
      <c r="D130" s="106"/>
      <c r="E130" s="77" t="s">
        <v>20</v>
      </c>
      <c r="F130" s="29" t="s">
        <v>21</v>
      </c>
      <c r="G130" s="248" t="n">
        <v>2</v>
      </c>
      <c r="H130" s="248" t="s">
        <v>62</v>
      </c>
      <c r="I130" s="248" t="n">
        <v>0</v>
      </c>
      <c r="J130" s="249" t="n">
        <v>12</v>
      </c>
      <c r="K130" s="249" t="s">
        <v>62</v>
      </c>
      <c r="L130" s="250" t="n">
        <f aca="false">IF(J130="",0,(J130/J133)*100)</f>
        <v>80</v>
      </c>
      <c r="M130" s="248" t="n">
        <v>2</v>
      </c>
      <c r="N130" s="251" t="n">
        <v>3</v>
      </c>
      <c r="O130" s="123" t="n">
        <f aca="false">IF(M130=1,1,0)</f>
        <v>0</v>
      </c>
      <c r="P130" s="124" t="n">
        <f aca="false">IF(M130=2,1,0)</f>
        <v>1</v>
      </c>
      <c r="Q130" s="124" t="n">
        <f aca="false">IF(M130=3,1,0)</f>
        <v>0</v>
      </c>
      <c r="R130" s="125" t="n">
        <f aca="false">IF(M130=4,1,0)</f>
        <v>0</v>
      </c>
      <c r="S130" s="119"/>
      <c r="T130" s="106"/>
      <c r="U130" s="56"/>
    </row>
    <row r="131" customFormat="false" ht="20.1" hidden="false" customHeight="true" outlineLevel="0" collapsed="false">
      <c r="B131" s="56"/>
      <c r="C131" s="106"/>
      <c r="D131" s="106"/>
      <c r="E131" s="77" t="s">
        <v>26</v>
      </c>
      <c r="F131" s="29" t="s">
        <v>27</v>
      </c>
      <c r="G131" s="248" t="n">
        <v>3</v>
      </c>
      <c r="H131" s="248" t="s">
        <v>62</v>
      </c>
      <c r="I131" s="248" t="n">
        <v>0</v>
      </c>
      <c r="J131" s="249" t="n">
        <v>9</v>
      </c>
      <c r="K131" s="248" t="s">
        <v>62</v>
      </c>
      <c r="L131" s="250" t="n">
        <f aca="false">IF(J131="",0,(J131/J133)*100)</f>
        <v>60</v>
      </c>
      <c r="M131" s="248" t="n">
        <v>3</v>
      </c>
      <c r="N131" s="251" t="n">
        <v>1</v>
      </c>
      <c r="O131" s="123" t="n">
        <f aca="false">IF(M131=1,1,0)</f>
        <v>0</v>
      </c>
      <c r="P131" s="124" t="n">
        <f aca="false">IF(M131=2,1,0)</f>
        <v>0</v>
      </c>
      <c r="Q131" s="124" t="n">
        <f aca="false">IF(M131=3,1,0)</f>
        <v>1</v>
      </c>
      <c r="R131" s="125" t="n">
        <f aca="false">IF(M131=4,1,0)</f>
        <v>0</v>
      </c>
      <c r="S131" s="119"/>
      <c r="T131" s="106"/>
      <c r="U131" s="56"/>
    </row>
    <row r="132" customFormat="false" ht="20.1" hidden="false" customHeight="true" outlineLevel="0" collapsed="false">
      <c r="B132" s="56"/>
      <c r="C132" s="106"/>
      <c r="D132" s="106"/>
      <c r="E132" s="236" t="s">
        <v>33</v>
      </c>
      <c r="F132" s="39" t="s">
        <v>34</v>
      </c>
      <c r="G132" s="253" t="n">
        <v>4</v>
      </c>
      <c r="H132" s="254" t="s">
        <v>62</v>
      </c>
      <c r="I132" s="253" t="n">
        <v>0</v>
      </c>
      <c r="J132" s="254" t="n">
        <v>7</v>
      </c>
      <c r="K132" s="254" t="s">
        <v>62</v>
      </c>
      <c r="L132" s="255" t="n">
        <f aca="false">IF(J132="",0,(J132/J133)*100)</f>
        <v>46.6666666666667</v>
      </c>
      <c r="M132" s="253" t="n">
        <v>4</v>
      </c>
      <c r="N132" s="256" t="n">
        <v>0</v>
      </c>
      <c r="O132" s="135" t="n">
        <f aca="false">IF(M132=1,1,0)</f>
        <v>0</v>
      </c>
      <c r="P132" s="136" t="n">
        <f aca="false">IF(M132=2,1,0)</f>
        <v>0</v>
      </c>
      <c r="Q132" s="136" t="n">
        <f aca="false">IF(M132=3,1,0)</f>
        <v>0</v>
      </c>
      <c r="R132" s="137" t="n">
        <f aca="false">IF(M132=4,1,0)</f>
        <v>1</v>
      </c>
      <c r="S132" s="119"/>
      <c r="T132" s="106"/>
      <c r="U132" s="56"/>
    </row>
    <row r="133" customFormat="false" ht="20.1" hidden="true" customHeight="true" outlineLevel="1" collapsed="false">
      <c r="B133" s="56"/>
      <c r="C133" s="106"/>
      <c r="D133" s="131"/>
      <c r="E133" s="131"/>
      <c r="F133" s="139"/>
      <c r="G133" s="139"/>
      <c r="H133" s="106"/>
      <c r="I133" s="170" t="s">
        <v>94</v>
      </c>
      <c r="J133" s="141" t="n">
        <f aca="false">MAX(J129:J132)</f>
        <v>15</v>
      </c>
      <c r="K133" s="257"/>
      <c r="L133" s="147"/>
      <c r="M133" s="106"/>
      <c r="N133" s="144" t="s">
        <v>95</v>
      </c>
      <c r="O133" s="145" t="n">
        <f aca="false">SUM(O129:O132)</f>
        <v>1</v>
      </c>
      <c r="P133" s="146" t="n">
        <f aca="false">SUM(P129:P132)</f>
        <v>1</v>
      </c>
      <c r="Q133" s="145" t="n">
        <f aca="false">SUM(Q129:Q132)</f>
        <v>1</v>
      </c>
      <c r="R133" s="158" t="n">
        <f aca="false">SUM(R129:R132)</f>
        <v>1</v>
      </c>
      <c r="S133" s="147"/>
      <c r="T133" s="106"/>
      <c r="U133" s="56"/>
    </row>
    <row r="134" customFormat="false" ht="20.1" hidden="false" customHeight="true" outlineLevel="0" collapsed="false">
      <c r="B134" s="56"/>
      <c r="C134" s="106"/>
      <c r="D134" s="106"/>
      <c r="E134" s="106"/>
      <c r="F134" s="106"/>
      <c r="G134" s="106"/>
      <c r="H134" s="106"/>
      <c r="I134" s="106"/>
      <c r="J134" s="106"/>
      <c r="K134" s="106"/>
      <c r="L134" s="106"/>
      <c r="M134" s="106"/>
      <c r="N134" s="106"/>
      <c r="O134" s="106"/>
      <c r="P134" s="106"/>
      <c r="Q134" s="106"/>
      <c r="R134" s="106"/>
      <c r="S134" s="106"/>
      <c r="T134" s="106"/>
      <c r="U134" s="56"/>
    </row>
    <row r="135" customFormat="false" ht="20.1" hidden="false" customHeight="true" outlineLevel="0" collapsed="false">
      <c r="B135" s="56"/>
      <c r="U135" s="56"/>
    </row>
    <row r="136" customFormat="false" ht="20.1" hidden="false" customHeight="true" outlineLevel="0" collapsed="false">
      <c r="B136" s="56"/>
      <c r="C136" s="149"/>
      <c r="D136" s="149"/>
      <c r="E136" s="150" t="str">
        <f aca="false">IF(OR(M118="-",M118= ""),H118,M118)</f>
        <v>Res Arcana</v>
      </c>
      <c r="F136" s="150"/>
      <c r="G136" s="150"/>
      <c r="H136" s="150"/>
      <c r="I136" s="150"/>
      <c r="J136" s="150"/>
      <c r="K136" s="150"/>
      <c r="L136" s="150"/>
      <c r="M136" s="150"/>
      <c r="N136" s="150"/>
      <c r="O136" s="151"/>
      <c r="P136" s="151"/>
      <c r="Q136" s="151"/>
      <c r="R136" s="151"/>
      <c r="S136" s="151"/>
      <c r="T136" s="149"/>
      <c r="U136" s="56"/>
    </row>
    <row r="137" customFormat="false" ht="50.1" hidden="false" customHeight="true" outlineLevel="0" collapsed="false">
      <c r="B137" s="56"/>
      <c r="C137" s="149"/>
      <c r="D137" s="151"/>
      <c r="E137" s="59" t="s">
        <v>48</v>
      </c>
      <c r="F137" s="109" t="s">
        <v>80</v>
      </c>
      <c r="G137" s="61" t="s">
        <v>81</v>
      </c>
      <c r="H137" s="60" t="s">
        <v>82</v>
      </c>
      <c r="I137" s="6" t="s">
        <v>83</v>
      </c>
      <c r="J137" s="60" t="s">
        <v>84</v>
      </c>
      <c r="K137" s="110" t="s">
        <v>85</v>
      </c>
      <c r="L137" s="60" t="s">
        <v>86</v>
      </c>
      <c r="M137" s="111" t="s">
        <v>87</v>
      </c>
      <c r="N137" s="61" t="s">
        <v>88</v>
      </c>
      <c r="O137" s="112" t="s">
        <v>89</v>
      </c>
      <c r="P137" s="113" t="s">
        <v>90</v>
      </c>
      <c r="Q137" s="113" t="s">
        <v>91</v>
      </c>
      <c r="R137" s="12" t="s">
        <v>92</v>
      </c>
      <c r="S137" s="151"/>
      <c r="T137" s="149"/>
      <c r="U137" s="56"/>
    </row>
    <row r="138" customFormat="false" ht="20.1" hidden="false" customHeight="true" outlineLevel="0" collapsed="false">
      <c r="B138" s="56"/>
      <c r="C138" s="149"/>
      <c r="D138" s="153"/>
      <c r="E138" s="67" t="s">
        <v>15</v>
      </c>
      <c r="F138" s="14" t="s">
        <v>16</v>
      </c>
      <c r="G138" s="258" t="n">
        <v>4</v>
      </c>
      <c r="H138" s="258" t="s">
        <v>198</v>
      </c>
      <c r="I138" s="258" t="n">
        <v>0</v>
      </c>
      <c r="J138" s="258" t="n">
        <v>9</v>
      </c>
      <c r="K138" s="258" t="s">
        <v>62</v>
      </c>
      <c r="L138" s="259" t="n">
        <f aca="false">IF(J138="",0,(J138/J142)*100)</f>
        <v>81.8181818181818</v>
      </c>
      <c r="M138" s="258" t="n">
        <v>2</v>
      </c>
      <c r="N138" s="260" t="n">
        <v>3</v>
      </c>
      <c r="O138" s="116" t="n">
        <f aca="false">IF(M138=1,1,0)</f>
        <v>0</v>
      </c>
      <c r="P138" s="117" t="n">
        <f aca="false">IF(M138=2,1,0)</f>
        <v>1</v>
      </c>
      <c r="Q138" s="117" t="n">
        <f aca="false">IF(M138=3,1,0)</f>
        <v>0</v>
      </c>
      <c r="R138" s="118" t="n">
        <f aca="false">IF(M138=4,1,0)</f>
        <v>0</v>
      </c>
      <c r="S138" s="152"/>
      <c r="T138" s="149"/>
      <c r="U138" s="56"/>
    </row>
    <row r="139" customFormat="false" ht="20.1" hidden="false" customHeight="true" outlineLevel="0" collapsed="false">
      <c r="B139" s="56"/>
      <c r="C139" s="149"/>
      <c r="D139" s="149"/>
      <c r="E139" s="126" t="s">
        <v>20</v>
      </c>
      <c r="F139" s="127" t="s">
        <v>21</v>
      </c>
      <c r="G139" s="128" t="n">
        <v>3</v>
      </c>
      <c r="H139" s="128" t="s">
        <v>287</v>
      </c>
      <c r="I139" s="128" t="n">
        <v>0</v>
      </c>
      <c r="J139" s="305" t="n">
        <v>11</v>
      </c>
      <c r="K139" s="305" t="s">
        <v>62</v>
      </c>
      <c r="L139" s="129" t="n">
        <f aca="false">IF(J139="",0,(J139/J142)*100)</f>
        <v>100</v>
      </c>
      <c r="M139" s="128" t="n">
        <v>1</v>
      </c>
      <c r="N139" s="130" t="n">
        <v>6</v>
      </c>
      <c r="O139" s="123" t="n">
        <f aca="false">IF(M139=1,1,0)</f>
        <v>1</v>
      </c>
      <c r="P139" s="124" t="n">
        <f aca="false">IF(M139=2,1,0)</f>
        <v>0</v>
      </c>
      <c r="Q139" s="124" t="n">
        <f aca="false">IF(M139=3,1,0)</f>
        <v>0</v>
      </c>
      <c r="R139" s="125" t="n">
        <f aca="false">IF(M139=4,1,0)</f>
        <v>0</v>
      </c>
      <c r="S139" s="152"/>
      <c r="T139" s="149"/>
      <c r="U139" s="56"/>
    </row>
    <row r="140" customFormat="false" ht="20.1" hidden="false" customHeight="true" outlineLevel="0" collapsed="false">
      <c r="B140" s="56"/>
      <c r="C140" s="149"/>
      <c r="D140" s="153"/>
      <c r="E140" s="77" t="s">
        <v>26</v>
      </c>
      <c r="F140" s="29" t="s">
        <v>27</v>
      </c>
      <c r="G140" s="248" t="n">
        <v>1</v>
      </c>
      <c r="H140" s="248" t="s">
        <v>288</v>
      </c>
      <c r="I140" s="248" t="n">
        <v>0</v>
      </c>
      <c r="J140" s="249" t="n">
        <v>4</v>
      </c>
      <c r="K140" s="248" t="s">
        <v>62</v>
      </c>
      <c r="L140" s="250" t="n">
        <f aca="false">IF(J140="",0,(J140/J142)*100)</f>
        <v>36.3636363636364</v>
      </c>
      <c r="M140" s="248" t="n">
        <v>3</v>
      </c>
      <c r="N140" s="251" t="n">
        <v>1</v>
      </c>
      <c r="O140" s="123" t="n">
        <f aca="false">IF(M140=1,1,0)</f>
        <v>0</v>
      </c>
      <c r="P140" s="124" t="n">
        <f aca="false">IF(M140=2,1,0)</f>
        <v>0</v>
      </c>
      <c r="Q140" s="124" t="n">
        <f aca="false">IF(M140=3,1,0)</f>
        <v>1</v>
      </c>
      <c r="R140" s="125" t="n">
        <f aca="false">IF(M140=4,1,0)</f>
        <v>0</v>
      </c>
      <c r="S140" s="152"/>
      <c r="T140" s="149"/>
      <c r="U140" s="56"/>
    </row>
    <row r="141" customFormat="false" ht="20.1" hidden="false" customHeight="true" outlineLevel="0" collapsed="false">
      <c r="B141" s="56"/>
      <c r="C141" s="149"/>
      <c r="D141" s="149"/>
      <c r="E141" s="236" t="s">
        <v>33</v>
      </c>
      <c r="F141" s="39" t="s">
        <v>34</v>
      </c>
      <c r="G141" s="253" t="n">
        <v>2</v>
      </c>
      <c r="H141" s="254" t="s">
        <v>289</v>
      </c>
      <c r="I141" s="253" t="n">
        <v>0</v>
      </c>
      <c r="J141" s="254" t="n">
        <v>1</v>
      </c>
      <c r="K141" s="254" t="s">
        <v>62</v>
      </c>
      <c r="L141" s="255" t="n">
        <f aca="false">IF(J141="",0,(J141/J142)*100)</f>
        <v>9.09090909090909</v>
      </c>
      <c r="M141" s="253" t="n">
        <v>4</v>
      </c>
      <c r="N141" s="256" t="n">
        <v>0</v>
      </c>
      <c r="O141" s="135" t="n">
        <f aca="false">IF(M141=1,1,0)</f>
        <v>0</v>
      </c>
      <c r="P141" s="136" t="n">
        <f aca="false">IF(M141=2,1,0)</f>
        <v>0</v>
      </c>
      <c r="Q141" s="136" t="n">
        <f aca="false">IF(M141=3,1,0)</f>
        <v>0</v>
      </c>
      <c r="R141" s="137" t="n">
        <f aca="false">IF(M141=4,1,0)</f>
        <v>1</v>
      </c>
      <c r="S141" s="152"/>
      <c r="T141" s="149"/>
      <c r="U141" s="56"/>
    </row>
    <row r="142" customFormat="false" ht="20.1" hidden="true" customHeight="true" outlineLevel="1" collapsed="false">
      <c r="B142" s="56"/>
      <c r="C142" s="149"/>
      <c r="D142" s="149"/>
      <c r="E142" s="149"/>
      <c r="F142" s="155"/>
      <c r="G142" s="155"/>
      <c r="H142" s="149"/>
      <c r="I142" s="170" t="s">
        <v>94</v>
      </c>
      <c r="J142" s="141" t="n">
        <f aca="false">MAX(J138:J141)</f>
        <v>11</v>
      </c>
      <c r="K142" s="157"/>
      <c r="L142" s="152"/>
      <c r="M142" s="149"/>
      <c r="N142" s="144" t="s">
        <v>95</v>
      </c>
      <c r="O142" s="145" t="n">
        <f aca="false">SUM(O138:O141)</f>
        <v>1</v>
      </c>
      <c r="P142" s="146" t="n">
        <f aca="false">SUM(P138:P141)</f>
        <v>1</v>
      </c>
      <c r="Q142" s="145" t="n">
        <f aca="false">SUM(Q138:Q141)</f>
        <v>1</v>
      </c>
      <c r="R142" s="158" t="n">
        <f aca="false">SUM(R138:R141)</f>
        <v>1</v>
      </c>
      <c r="S142" s="159"/>
      <c r="T142" s="149"/>
      <c r="U142" s="56"/>
    </row>
    <row r="143" customFormat="false" ht="20.1" hidden="false" customHeight="true" outlineLevel="0" collapsed="false">
      <c r="B143" s="56"/>
      <c r="C143" s="149"/>
      <c r="D143" s="149"/>
      <c r="E143" s="149"/>
      <c r="F143" s="149"/>
      <c r="G143" s="149"/>
      <c r="H143" s="149"/>
      <c r="I143" s="149"/>
      <c r="J143" s="149"/>
      <c r="K143" s="149"/>
      <c r="L143" s="149"/>
      <c r="M143" s="149"/>
      <c r="N143" s="149"/>
      <c r="O143" s="149"/>
      <c r="P143" s="149"/>
      <c r="Q143" s="149"/>
      <c r="R143" s="149"/>
      <c r="S143" s="149"/>
      <c r="T143" s="149"/>
      <c r="U143" s="56"/>
    </row>
    <row r="144" customFormat="false" ht="20.1" hidden="false" customHeight="true" outlineLevel="0" collapsed="false">
      <c r="B144" s="56"/>
      <c r="D144" s="45"/>
      <c r="E144" s="45"/>
      <c r="F144" s="45"/>
      <c r="G144" s="45"/>
      <c r="H144" s="160"/>
      <c r="I144" s="45"/>
      <c r="J144" s="45"/>
      <c r="U144" s="56"/>
    </row>
    <row r="145" customFormat="false" ht="20.1" hidden="false" customHeight="true" outlineLevel="0" collapsed="false">
      <c r="B145" s="56"/>
      <c r="C145" s="161"/>
      <c r="D145" s="161"/>
      <c r="E145" s="162" t="str">
        <f aca="false">IF(OR(M120="-",M120= ""),H120,M120)</f>
        <v>Wasserkraft</v>
      </c>
      <c r="F145" s="162"/>
      <c r="G145" s="162"/>
      <c r="H145" s="162"/>
      <c r="I145" s="162"/>
      <c r="J145" s="162"/>
      <c r="K145" s="162"/>
      <c r="L145" s="162"/>
      <c r="M145" s="162"/>
      <c r="N145" s="162"/>
      <c r="O145" s="163"/>
      <c r="P145" s="163"/>
      <c r="Q145" s="163"/>
      <c r="R145" s="163"/>
      <c r="S145" s="163"/>
      <c r="T145" s="161"/>
      <c r="U145" s="164"/>
    </row>
    <row r="146" customFormat="false" ht="50.1" hidden="false" customHeight="true" outlineLevel="0" collapsed="false">
      <c r="B146" s="56"/>
      <c r="C146" s="161"/>
      <c r="D146" s="163"/>
      <c r="E146" s="59" t="s">
        <v>48</v>
      </c>
      <c r="F146" s="109" t="s">
        <v>80</v>
      </c>
      <c r="G146" s="61" t="s">
        <v>81</v>
      </c>
      <c r="H146" s="60" t="s">
        <v>82</v>
      </c>
      <c r="I146" s="6" t="s">
        <v>83</v>
      </c>
      <c r="J146" s="60" t="s">
        <v>84</v>
      </c>
      <c r="K146" s="110" t="s">
        <v>85</v>
      </c>
      <c r="L146" s="60" t="s">
        <v>86</v>
      </c>
      <c r="M146" s="111" t="s">
        <v>87</v>
      </c>
      <c r="N146" s="61" t="s">
        <v>88</v>
      </c>
      <c r="O146" s="112" t="s">
        <v>89</v>
      </c>
      <c r="P146" s="113" t="s">
        <v>90</v>
      </c>
      <c r="Q146" s="113" t="s">
        <v>91</v>
      </c>
      <c r="R146" s="12" t="s">
        <v>92</v>
      </c>
      <c r="S146" s="163"/>
      <c r="T146" s="161"/>
      <c r="U146" s="164"/>
    </row>
    <row r="147" customFormat="false" ht="27.95" hidden="false" customHeight="true" outlineLevel="0" collapsed="false">
      <c r="B147" s="56"/>
      <c r="C147" s="161"/>
      <c r="D147" s="167"/>
      <c r="E147" s="67" t="s">
        <v>15</v>
      </c>
      <c r="F147" s="14" t="s">
        <v>16</v>
      </c>
      <c r="G147" s="258" t="n">
        <v>4</v>
      </c>
      <c r="H147" s="304" t="s">
        <v>290</v>
      </c>
      <c r="I147" s="258" t="n">
        <v>10</v>
      </c>
      <c r="J147" s="258" t="n">
        <v>100</v>
      </c>
      <c r="K147" s="258" t="s">
        <v>62</v>
      </c>
      <c r="L147" s="259" t="n">
        <f aca="false">IF(J147="",0,(J147/J151)*100)</f>
        <v>72.992700729927</v>
      </c>
      <c r="M147" s="258" t="n">
        <v>2</v>
      </c>
      <c r="N147" s="260" t="n">
        <v>3</v>
      </c>
      <c r="O147" s="116" t="n">
        <f aca="false">IF(M147=1,1,0)</f>
        <v>0</v>
      </c>
      <c r="P147" s="117" t="n">
        <f aca="false">IF(M147=2,1,0)</f>
        <v>1</v>
      </c>
      <c r="Q147" s="117" t="n">
        <f aca="false">IF(M147=3,1,0)</f>
        <v>0</v>
      </c>
      <c r="R147" s="118" t="n">
        <f aca="false">IF(M147=4,1,0)</f>
        <v>0</v>
      </c>
      <c r="S147" s="166"/>
      <c r="T147" s="161"/>
      <c r="U147" s="56"/>
    </row>
    <row r="148" customFormat="false" ht="27.95" hidden="false" customHeight="true" outlineLevel="0" collapsed="false">
      <c r="B148" s="56"/>
      <c r="C148" s="161"/>
      <c r="D148" s="161"/>
      <c r="E148" s="77" t="s">
        <v>20</v>
      </c>
      <c r="F148" s="29" t="s">
        <v>21</v>
      </c>
      <c r="G148" s="248" t="n">
        <v>2</v>
      </c>
      <c r="H148" s="249" t="s">
        <v>291</v>
      </c>
      <c r="I148" s="248" t="n">
        <v>10</v>
      </c>
      <c r="J148" s="249" t="n">
        <v>57</v>
      </c>
      <c r="K148" s="249" t="s">
        <v>62</v>
      </c>
      <c r="L148" s="250" t="n">
        <f aca="false">IF(J148="",0,(J148/J151)*100)</f>
        <v>41.6058394160584</v>
      </c>
      <c r="M148" s="248" t="n">
        <v>3</v>
      </c>
      <c r="N148" s="251" t="n">
        <v>1</v>
      </c>
      <c r="O148" s="123" t="n">
        <f aca="false">IF(M148=1,1,0)</f>
        <v>0</v>
      </c>
      <c r="P148" s="124" t="n">
        <f aca="false">IF(M148=2,1,0)</f>
        <v>0</v>
      </c>
      <c r="Q148" s="124" t="n">
        <f aca="false">IF(M148=3,1,0)</f>
        <v>1</v>
      </c>
      <c r="R148" s="125" t="n">
        <f aca="false">IF(M148=4,1,0)</f>
        <v>0</v>
      </c>
      <c r="S148" s="166"/>
      <c r="T148" s="161"/>
      <c r="U148" s="168"/>
    </row>
    <row r="149" customFormat="false" ht="27.95" hidden="false" customHeight="true" outlineLevel="0" collapsed="false">
      <c r="B149" s="56"/>
      <c r="C149" s="161"/>
      <c r="D149" s="161"/>
      <c r="E149" s="126" t="s">
        <v>26</v>
      </c>
      <c r="F149" s="127" t="s">
        <v>27</v>
      </c>
      <c r="G149" s="128" t="n">
        <v>1</v>
      </c>
      <c r="H149" s="305" t="s">
        <v>292</v>
      </c>
      <c r="I149" s="128" t="n">
        <v>10</v>
      </c>
      <c r="J149" s="305" t="n">
        <v>137</v>
      </c>
      <c r="K149" s="128" t="s">
        <v>62</v>
      </c>
      <c r="L149" s="129" t="n">
        <f aca="false">IF(J149="",0,(J149/J151)*100)</f>
        <v>100</v>
      </c>
      <c r="M149" s="128" t="n">
        <v>1</v>
      </c>
      <c r="N149" s="130" t="n">
        <v>6</v>
      </c>
      <c r="O149" s="123" t="n">
        <f aca="false">IF(M149=1,1,0)</f>
        <v>1</v>
      </c>
      <c r="P149" s="124" t="n">
        <f aca="false">IF(M149=2,1,0)</f>
        <v>0</v>
      </c>
      <c r="Q149" s="124" t="n">
        <f aca="false">IF(M149=3,1,0)</f>
        <v>0</v>
      </c>
      <c r="R149" s="125" t="n">
        <f aca="false">IF(M149=4,1,0)</f>
        <v>0</v>
      </c>
      <c r="S149" s="166"/>
      <c r="T149" s="161"/>
      <c r="U149" s="168"/>
    </row>
    <row r="150" customFormat="false" ht="20.1" hidden="false" customHeight="true" outlineLevel="0" collapsed="false">
      <c r="B150" s="56"/>
      <c r="C150" s="161"/>
      <c r="D150" s="161"/>
      <c r="E150" s="236" t="s">
        <v>33</v>
      </c>
      <c r="F150" s="39" t="s">
        <v>34</v>
      </c>
      <c r="G150" s="253" t="n">
        <v>3</v>
      </c>
      <c r="H150" s="254" t="s">
        <v>293</v>
      </c>
      <c r="I150" s="253" t="n">
        <v>10</v>
      </c>
      <c r="J150" s="254" t="n">
        <v>47</v>
      </c>
      <c r="K150" s="254" t="s">
        <v>62</v>
      </c>
      <c r="L150" s="255" t="n">
        <f aca="false">IF(J150="",0,(J150/J151)*100)</f>
        <v>34.3065693430657</v>
      </c>
      <c r="M150" s="253" t="n">
        <v>4</v>
      </c>
      <c r="N150" s="256" t="n">
        <v>0</v>
      </c>
      <c r="O150" s="135" t="n">
        <f aca="false">IF(M150=1,1,0)</f>
        <v>0</v>
      </c>
      <c r="P150" s="136" t="n">
        <f aca="false">IF(M150=2,1,0)</f>
        <v>0</v>
      </c>
      <c r="Q150" s="136" t="n">
        <f aca="false">IF(M150=3,1,0)</f>
        <v>0</v>
      </c>
      <c r="R150" s="137" t="n">
        <f aca="false">IF(M150=4,1,0)</f>
        <v>1</v>
      </c>
      <c r="S150" s="166"/>
      <c r="T150" s="161"/>
      <c r="U150" s="168"/>
    </row>
    <row r="151" customFormat="false" ht="20.1" hidden="true" customHeight="true" outlineLevel="1" collapsed="false">
      <c r="B151" s="56"/>
      <c r="C151" s="161"/>
      <c r="D151" s="161"/>
      <c r="E151" s="161"/>
      <c r="F151" s="169"/>
      <c r="G151" s="169"/>
      <c r="H151" s="161"/>
      <c r="I151" s="170" t="s">
        <v>94</v>
      </c>
      <c r="J151" s="141" t="n">
        <f aca="false">MAX(J147:J150)</f>
        <v>137</v>
      </c>
      <c r="K151" s="171"/>
      <c r="L151" s="166"/>
      <c r="M151" s="161"/>
      <c r="N151" s="144" t="s">
        <v>95</v>
      </c>
      <c r="O151" s="145" t="n">
        <f aca="false">SUM(O147:O150)</f>
        <v>1</v>
      </c>
      <c r="P151" s="146" t="n">
        <f aca="false">SUM(P147:P150)</f>
        <v>1</v>
      </c>
      <c r="Q151" s="145" t="n">
        <f aca="false">SUM(Q147:Q150)</f>
        <v>1</v>
      </c>
      <c r="R151" s="158" t="n">
        <f aca="false">SUM(R147:R150)</f>
        <v>1</v>
      </c>
      <c r="S151" s="172"/>
      <c r="T151" s="161"/>
      <c r="U151" s="168"/>
    </row>
    <row r="152" customFormat="false" ht="20.1" hidden="false" customHeight="true" outlineLevel="0" collapsed="false">
      <c r="B152" s="56"/>
      <c r="C152" s="161"/>
      <c r="D152" s="161"/>
      <c r="E152" s="161"/>
      <c r="F152" s="161"/>
      <c r="G152" s="161"/>
      <c r="H152" s="161"/>
      <c r="I152" s="161"/>
      <c r="J152" s="161"/>
      <c r="K152" s="161"/>
      <c r="L152" s="161"/>
      <c r="M152" s="161"/>
      <c r="N152" s="161"/>
      <c r="O152" s="161"/>
      <c r="P152" s="161"/>
      <c r="Q152" s="161"/>
      <c r="R152" s="161"/>
      <c r="S152" s="161"/>
      <c r="T152" s="161"/>
      <c r="U152" s="168"/>
    </row>
    <row r="153" customFormat="false" ht="20.1" hidden="false" customHeight="true" outlineLevel="0" collapsed="false">
      <c r="B153" s="56"/>
      <c r="D153" s="45"/>
      <c r="E153" s="45"/>
      <c r="F153" s="45"/>
      <c r="G153" s="45"/>
      <c r="H153" s="160"/>
      <c r="I153" s="45"/>
      <c r="J153" s="45"/>
      <c r="K153" s="45"/>
      <c r="U153" s="56"/>
    </row>
    <row r="154" customFormat="false" ht="20.1" hidden="false" customHeight="true" outlineLevel="0" collapsed="false">
      <c r="B154" s="56"/>
      <c r="C154" s="173"/>
      <c r="D154" s="173"/>
      <c r="E154" s="174" t="str">
        <f aca="false">IF(OR(L125="-",L125= ""),H125,L125)</f>
        <v>Rajas: Dice Charmers</v>
      </c>
      <c r="F154" s="174"/>
      <c r="G154" s="174"/>
      <c r="H154" s="174"/>
      <c r="I154" s="174"/>
      <c r="J154" s="174"/>
      <c r="K154" s="174"/>
      <c r="L154" s="174"/>
      <c r="M154" s="174"/>
      <c r="N154" s="174"/>
      <c r="O154" s="175"/>
      <c r="P154" s="175"/>
      <c r="Q154" s="175"/>
      <c r="R154" s="175"/>
      <c r="S154" s="175"/>
      <c r="T154" s="173"/>
      <c r="U154" s="56"/>
    </row>
    <row r="155" customFormat="false" ht="50.1" hidden="false" customHeight="true" outlineLevel="0" collapsed="false">
      <c r="B155" s="56"/>
      <c r="C155" s="173"/>
      <c r="D155" s="175"/>
      <c r="E155" s="59" t="s">
        <v>48</v>
      </c>
      <c r="F155" s="109" t="s">
        <v>80</v>
      </c>
      <c r="G155" s="61" t="s">
        <v>81</v>
      </c>
      <c r="H155" s="60" t="s">
        <v>82</v>
      </c>
      <c r="I155" s="6" t="s">
        <v>83</v>
      </c>
      <c r="J155" s="60" t="s">
        <v>84</v>
      </c>
      <c r="K155" s="110" t="s">
        <v>85</v>
      </c>
      <c r="L155" s="60" t="s">
        <v>86</v>
      </c>
      <c r="M155" s="111" t="s">
        <v>87</v>
      </c>
      <c r="N155" s="61" t="s">
        <v>88</v>
      </c>
      <c r="O155" s="112" t="s">
        <v>89</v>
      </c>
      <c r="P155" s="113" t="s">
        <v>90</v>
      </c>
      <c r="Q155" s="113" t="s">
        <v>91</v>
      </c>
      <c r="R155" s="12" t="s">
        <v>92</v>
      </c>
      <c r="S155" s="175"/>
      <c r="T155" s="173"/>
      <c r="U155" s="56"/>
    </row>
    <row r="156" customFormat="false" ht="20.1" hidden="false" customHeight="true" outlineLevel="0" collapsed="false">
      <c r="B156" s="56"/>
      <c r="C156" s="173"/>
      <c r="D156" s="173"/>
      <c r="E156" s="243" t="s">
        <v>15</v>
      </c>
      <c r="F156" s="244" t="s">
        <v>16</v>
      </c>
      <c r="G156" s="245" t="n">
        <v>1</v>
      </c>
      <c r="H156" s="245" t="s">
        <v>62</v>
      </c>
      <c r="I156" s="245" t="n">
        <v>-39</v>
      </c>
      <c r="J156" s="245" t="n">
        <v>3</v>
      </c>
      <c r="K156" s="245" t="s">
        <v>62</v>
      </c>
      <c r="L156" s="246" t="n">
        <f aca="false">(I156-J156)/(I156-$J$156)*100</f>
        <v>100</v>
      </c>
      <c r="M156" s="245" t="n">
        <v>1</v>
      </c>
      <c r="N156" s="247" t="n">
        <v>6</v>
      </c>
      <c r="O156" s="116" t="n">
        <f aca="false">IF(M156=1,1,0)</f>
        <v>1</v>
      </c>
      <c r="P156" s="117" t="n">
        <f aca="false">IF(M156=2,1,0)</f>
        <v>0</v>
      </c>
      <c r="Q156" s="117" t="n">
        <f aca="false">IF(M156=3,1,0)</f>
        <v>0</v>
      </c>
      <c r="R156" s="118" t="n">
        <f aca="false">IF(M156=4,1,0)</f>
        <v>0</v>
      </c>
      <c r="S156" s="176"/>
      <c r="T156" s="173"/>
      <c r="U156" s="56"/>
    </row>
    <row r="157" customFormat="false" ht="20.1" hidden="false" customHeight="true" outlineLevel="0" collapsed="false">
      <c r="B157" s="56"/>
      <c r="C157" s="173"/>
      <c r="D157" s="173"/>
      <c r="E157" s="77" t="s">
        <v>20</v>
      </c>
      <c r="F157" s="29" t="s">
        <v>21</v>
      </c>
      <c r="G157" s="248" t="n">
        <v>4</v>
      </c>
      <c r="H157" s="248" t="s">
        <v>62</v>
      </c>
      <c r="I157" s="248" t="n">
        <v>-39</v>
      </c>
      <c r="J157" s="249" t="n">
        <v>-0.5</v>
      </c>
      <c r="K157" s="249" t="s">
        <v>62</v>
      </c>
      <c r="L157" s="122" t="n">
        <f aca="false">(I157-J157)/(I157-$J$156)*100</f>
        <v>91.6666666666667</v>
      </c>
      <c r="M157" s="248" t="n">
        <v>2</v>
      </c>
      <c r="N157" s="251" t="n">
        <v>3</v>
      </c>
      <c r="O157" s="123" t="n">
        <f aca="false">IF(M157=1,1,0)</f>
        <v>0</v>
      </c>
      <c r="P157" s="124" t="n">
        <f aca="false">IF(M157=2,1,0)</f>
        <v>1</v>
      </c>
      <c r="Q157" s="124" t="n">
        <f aca="false">IF(M157=3,1,0)</f>
        <v>0</v>
      </c>
      <c r="R157" s="125" t="n">
        <f aca="false">IF(M157=4,1,0)</f>
        <v>0</v>
      </c>
      <c r="S157" s="176"/>
      <c r="T157" s="173"/>
      <c r="U157" s="56"/>
    </row>
    <row r="158" customFormat="false" ht="20.1" hidden="false" customHeight="true" outlineLevel="0" collapsed="false">
      <c r="B158" s="56"/>
      <c r="C158" s="173"/>
      <c r="D158" s="173"/>
      <c r="E158" s="77" t="s">
        <v>26</v>
      </c>
      <c r="F158" s="29" t="s">
        <v>27</v>
      </c>
      <c r="G158" s="248" t="n">
        <v>2</v>
      </c>
      <c r="H158" s="248" t="s">
        <v>62</v>
      </c>
      <c r="I158" s="248" t="n">
        <v>-39</v>
      </c>
      <c r="J158" s="249" t="n">
        <v>-9</v>
      </c>
      <c r="K158" s="248" t="s">
        <v>62</v>
      </c>
      <c r="L158" s="122" t="n">
        <f aca="false">(I158-J158)/(I158-$J$156)*100</f>
        <v>71.4285714285714</v>
      </c>
      <c r="M158" s="248" t="n">
        <v>4</v>
      </c>
      <c r="N158" s="251" t="n">
        <v>0</v>
      </c>
      <c r="O158" s="123" t="n">
        <f aca="false">IF(M158=1,1,0)</f>
        <v>0</v>
      </c>
      <c r="P158" s="124" t="n">
        <f aca="false">IF(M158=2,1,0)</f>
        <v>0</v>
      </c>
      <c r="Q158" s="124" t="n">
        <f aca="false">IF(M158=3,1,0)</f>
        <v>0</v>
      </c>
      <c r="R158" s="125" t="n">
        <f aca="false">IF(M158=4,1,0)</f>
        <v>1</v>
      </c>
      <c r="S158" s="176"/>
      <c r="T158" s="173"/>
      <c r="U158" s="56"/>
    </row>
    <row r="159" customFormat="false" ht="20.1" hidden="false" customHeight="true" outlineLevel="0" collapsed="false">
      <c r="B159" s="56"/>
      <c r="C159" s="173"/>
      <c r="D159" s="177"/>
      <c r="E159" s="236" t="s">
        <v>33</v>
      </c>
      <c r="F159" s="39" t="s">
        <v>34</v>
      </c>
      <c r="G159" s="253" t="n">
        <v>3</v>
      </c>
      <c r="H159" s="254" t="s">
        <v>62</v>
      </c>
      <c r="I159" s="253" t="n">
        <v>-39</v>
      </c>
      <c r="J159" s="254" t="n">
        <v>-8.5</v>
      </c>
      <c r="K159" s="254" t="s">
        <v>62</v>
      </c>
      <c r="L159" s="134" t="n">
        <f aca="false">(I159-J159)/(I159-$J$156)*100</f>
        <v>72.6190476190476</v>
      </c>
      <c r="M159" s="253" t="n">
        <v>3</v>
      </c>
      <c r="N159" s="256" t="n">
        <v>1</v>
      </c>
      <c r="O159" s="135" t="n">
        <f aca="false">IF(M159=1,1,0)</f>
        <v>0</v>
      </c>
      <c r="P159" s="136" t="n">
        <f aca="false">IF(M159=2,1,0)</f>
        <v>0</v>
      </c>
      <c r="Q159" s="136" t="n">
        <f aca="false">IF(M159=3,1,0)</f>
        <v>1</v>
      </c>
      <c r="R159" s="137" t="n">
        <f aca="false">IF(M159=4,1,0)</f>
        <v>0</v>
      </c>
      <c r="S159" s="176"/>
      <c r="T159" s="173"/>
      <c r="U159" s="56"/>
    </row>
    <row r="160" customFormat="false" ht="20.1" hidden="true" customHeight="true" outlineLevel="1" collapsed="false">
      <c r="B160" s="56"/>
      <c r="C160" s="173"/>
      <c r="D160" s="173"/>
      <c r="E160" s="173"/>
      <c r="F160" s="178"/>
      <c r="G160" s="178"/>
      <c r="H160" s="173"/>
      <c r="I160" s="170" t="s">
        <v>94</v>
      </c>
      <c r="J160" s="141" t="n">
        <f aca="false">MAX(J156:J159)</f>
        <v>3</v>
      </c>
      <c r="K160" s="179"/>
      <c r="L160" s="176"/>
      <c r="M160" s="173"/>
      <c r="N160" s="144" t="s">
        <v>95</v>
      </c>
      <c r="O160" s="145" t="n">
        <f aca="false">SUM(O156:O159)</f>
        <v>1</v>
      </c>
      <c r="P160" s="146" t="n">
        <f aca="false">SUM(P156:P159)</f>
        <v>1</v>
      </c>
      <c r="Q160" s="145" t="n">
        <f aca="false">SUM(Q156:Q159)</f>
        <v>1</v>
      </c>
      <c r="R160" s="158" t="n">
        <f aca="false">SUM(R156:R159)</f>
        <v>1</v>
      </c>
      <c r="S160" s="180"/>
      <c r="T160" s="173"/>
      <c r="U160" s="56"/>
    </row>
    <row r="161" customFormat="false" ht="20.1" hidden="false" customHeight="true" outlineLevel="0" collapsed="false">
      <c r="B161" s="56"/>
      <c r="C161" s="173"/>
      <c r="D161" s="173"/>
      <c r="E161" s="173"/>
      <c r="F161" s="173"/>
      <c r="G161" s="173"/>
      <c r="H161" s="173"/>
      <c r="I161" s="173"/>
      <c r="J161" s="173"/>
      <c r="K161" s="173"/>
      <c r="L161" s="173"/>
      <c r="M161" s="173"/>
      <c r="N161" s="173"/>
      <c r="O161" s="173"/>
      <c r="P161" s="173"/>
      <c r="Q161" s="173"/>
      <c r="R161" s="173"/>
      <c r="S161" s="173"/>
      <c r="T161" s="173"/>
      <c r="U161" s="56"/>
    </row>
    <row r="162" customFormat="false" ht="20.1" hidden="false" customHeight="true" outlineLevel="0" collapsed="false">
      <c r="B162" s="56"/>
      <c r="D162" s="5"/>
      <c r="E162" s="5"/>
      <c r="F162" s="5"/>
      <c r="G162" s="5"/>
      <c r="H162" s="5"/>
      <c r="I162" s="5"/>
      <c r="J162" s="5"/>
      <c r="U162" s="56"/>
    </row>
    <row r="163" customFormat="false" ht="30" hidden="false" customHeight="true" outlineLevel="0" collapsed="false">
      <c r="B163" s="56"/>
      <c r="C163" s="181"/>
      <c r="D163" s="182" t="s">
        <v>133</v>
      </c>
      <c r="E163" s="182"/>
      <c r="F163" s="182"/>
      <c r="G163" s="182"/>
      <c r="H163" s="182"/>
      <c r="I163" s="182"/>
      <c r="J163" s="182"/>
      <c r="K163" s="182"/>
      <c r="L163" s="182"/>
      <c r="M163" s="182"/>
      <c r="N163" s="182"/>
      <c r="O163" s="182"/>
      <c r="P163" s="182"/>
      <c r="Q163" s="182"/>
      <c r="R163" s="182"/>
      <c r="S163" s="182"/>
      <c r="T163" s="181"/>
      <c r="U163" s="56"/>
    </row>
    <row r="164" customFormat="false" ht="50.1" hidden="false" customHeight="true" outlineLevel="0" collapsed="false">
      <c r="B164" s="56"/>
      <c r="C164" s="181"/>
      <c r="D164" s="183" t="s">
        <v>48</v>
      </c>
      <c r="E164" s="184" t="s">
        <v>49</v>
      </c>
      <c r="F164" s="185" t="s">
        <v>88</v>
      </c>
      <c r="G164" s="186" t="s">
        <v>101</v>
      </c>
      <c r="H164" s="187" t="s">
        <v>102</v>
      </c>
      <c r="I164" s="187"/>
      <c r="J164" s="188" t="s">
        <v>103</v>
      </c>
      <c r="K164" s="189" t="s">
        <v>104</v>
      </c>
      <c r="L164" s="185" t="s">
        <v>105</v>
      </c>
      <c r="M164" s="189" t="s">
        <v>106</v>
      </c>
      <c r="N164" s="185" t="s">
        <v>107</v>
      </c>
      <c r="O164" s="190"/>
      <c r="P164" s="191"/>
      <c r="Q164" s="191"/>
      <c r="R164" s="191"/>
      <c r="S164" s="184" t="s">
        <v>108</v>
      </c>
      <c r="T164" s="181"/>
      <c r="U164" s="56"/>
    </row>
    <row r="165" customFormat="false" ht="20.1" hidden="false" customHeight="true" outlineLevel="0" collapsed="false">
      <c r="B165" s="56"/>
      <c r="C165" s="181"/>
      <c r="D165" s="267" t="s">
        <v>15</v>
      </c>
      <c r="E165" s="268" t="s">
        <v>16</v>
      </c>
      <c r="F165" s="269" t="n">
        <f aca="false">K165*6+L165*3+M165*1+N165*0</f>
        <v>18</v>
      </c>
      <c r="G165" s="270" t="n">
        <v>0</v>
      </c>
      <c r="H165" s="270" t="s">
        <v>62</v>
      </c>
      <c r="I165" s="270"/>
      <c r="J165" s="269" t="n">
        <f aca="false">F165+G165</f>
        <v>18</v>
      </c>
      <c r="K165" s="269" t="n">
        <v>2</v>
      </c>
      <c r="L165" s="269" t="n">
        <v>2</v>
      </c>
      <c r="M165" s="269" t="n">
        <v>0</v>
      </c>
      <c r="N165" s="269" t="n">
        <v>0</v>
      </c>
      <c r="O165" s="271"/>
      <c r="P165" s="270"/>
      <c r="Q165" s="270"/>
      <c r="R165" s="270"/>
      <c r="S165" s="272" t="n">
        <f aca="false">(L129++L138+L147+L156)/4</f>
        <v>88.7027206370272</v>
      </c>
      <c r="T165" s="181"/>
      <c r="U165" s="56"/>
    </row>
    <row r="166" customFormat="false" ht="20.1" hidden="false" customHeight="true" outlineLevel="0" collapsed="false">
      <c r="B166" s="56"/>
      <c r="C166" s="181"/>
      <c r="D166" s="273" t="s">
        <v>20</v>
      </c>
      <c r="E166" s="274" t="s">
        <v>21</v>
      </c>
      <c r="F166" s="275" t="n">
        <f aca="false">K166*6+L166*3+M166*1+N166*0</f>
        <v>13</v>
      </c>
      <c r="G166" s="276" t="n">
        <v>0</v>
      </c>
      <c r="H166" s="276" t="s">
        <v>62</v>
      </c>
      <c r="I166" s="276"/>
      <c r="J166" s="275" t="n">
        <f aca="false">F166+G166</f>
        <v>13</v>
      </c>
      <c r="K166" s="275" t="n">
        <v>1</v>
      </c>
      <c r="L166" s="275" t="n">
        <v>2</v>
      </c>
      <c r="M166" s="275" t="n">
        <v>1</v>
      </c>
      <c r="N166" s="275" t="n">
        <v>0</v>
      </c>
      <c r="O166" s="277"/>
      <c r="P166" s="276"/>
      <c r="Q166" s="276"/>
      <c r="R166" s="276"/>
      <c r="S166" s="278" t="n">
        <f aca="false">(L130+L139+L148+L157)/4</f>
        <v>78.3181265206813</v>
      </c>
      <c r="T166" s="181"/>
      <c r="U166" s="56"/>
      <c r="Y166" s="279"/>
      <c r="Z166" s="279"/>
      <c r="AA166" s="280"/>
      <c r="AB166" s="280"/>
      <c r="AC166" s="281"/>
      <c r="AD166" s="281"/>
      <c r="AE166" s="281"/>
    </row>
    <row r="167" customFormat="false" ht="20.1" hidden="false" customHeight="true" outlineLevel="0" collapsed="false">
      <c r="B167" s="56"/>
      <c r="C167" s="181"/>
      <c r="D167" s="273" t="s">
        <v>26</v>
      </c>
      <c r="E167" s="274" t="s">
        <v>27</v>
      </c>
      <c r="F167" s="275" t="n">
        <f aca="false">K167*6+L167*3+M167*1+N167*0</f>
        <v>8</v>
      </c>
      <c r="G167" s="276" t="n">
        <v>0</v>
      </c>
      <c r="H167" s="276" t="s">
        <v>62</v>
      </c>
      <c r="I167" s="276"/>
      <c r="J167" s="275" t="n">
        <f aca="false">F167+G167</f>
        <v>8</v>
      </c>
      <c r="K167" s="275" t="n">
        <v>1</v>
      </c>
      <c r="L167" s="275" t="n">
        <v>0</v>
      </c>
      <c r="M167" s="275" t="n">
        <v>2</v>
      </c>
      <c r="N167" s="275" t="n">
        <v>1</v>
      </c>
      <c r="O167" s="277"/>
      <c r="P167" s="276"/>
      <c r="Q167" s="276"/>
      <c r="R167" s="276"/>
      <c r="S167" s="278" t="n">
        <f aca="false">(L131+L140+L149+L158)/4</f>
        <v>66.948051948052</v>
      </c>
      <c r="T167" s="181"/>
      <c r="U167" s="56"/>
    </row>
    <row r="168" customFormat="false" ht="20.1" hidden="false" customHeight="true" outlineLevel="0" collapsed="false">
      <c r="B168" s="56"/>
      <c r="C168" s="181"/>
      <c r="D168" s="282" t="s">
        <v>33</v>
      </c>
      <c r="E168" s="283" t="s">
        <v>34</v>
      </c>
      <c r="F168" s="284" t="n">
        <f aca="false">K168*6+L168*3+M168*1+N168*0</f>
        <v>1</v>
      </c>
      <c r="G168" s="285" t="n">
        <v>0</v>
      </c>
      <c r="H168" s="285" t="s">
        <v>62</v>
      </c>
      <c r="I168" s="285"/>
      <c r="J168" s="284" t="n">
        <f aca="false">F168+G168</f>
        <v>1</v>
      </c>
      <c r="K168" s="284" t="n">
        <v>0</v>
      </c>
      <c r="L168" s="284" t="n">
        <v>0</v>
      </c>
      <c r="M168" s="284" t="n">
        <v>1</v>
      </c>
      <c r="N168" s="284" t="n">
        <v>3</v>
      </c>
      <c r="O168" s="286"/>
      <c r="P168" s="285"/>
      <c r="Q168" s="285"/>
      <c r="R168" s="285"/>
      <c r="S168" s="287" t="n">
        <f aca="false">(L132+L141+L150+L159)/4</f>
        <v>40.6707981799223</v>
      </c>
      <c r="T168" s="181"/>
      <c r="U168" s="56"/>
    </row>
    <row r="169" customFormat="false" ht="20.1" hidden="false" customHeight="true" outlineLevel="0" collapsed="false">
      <c r="B169" s="56"/>
      <c r="C169" s="181"/>
      <c r="D169" s="209"/>
      <c r="E169" s="209"/>
      <c r="F169" s="288"/>
      <c r="G169" s="289"/>
      <c r="H169" s="290"/>
      <c r="I169" s="290"/>
      <c r="J169" s="288"/>
      <c r="K169" s="288"/>
      <c r="L169" s="288"/>
      <c r="M169" s="288"/>
      <c r="N169" s="288"/>
      <c r="O169" s="291"/>
      <c r="P169" s="289"/>
      <c r="Q169" s="289"/>
      <c r="R169" s="289"/>
      <c r="S169" s="292"/>
      <c r="T169" s="181"/>
      <c r="U169" s="56"/>
    </row>
    <row r="170" customFormat="false" ht="20.1" hidden="false" customHeight="true" outlineLevel="0" collapsed="false">
      <c r="B170" s="56"/>
      <c r="C170" s="56"/>
      <c r="D170" s="213"/>
      <c r="E170" s="213"/>
      <c r="F170" s="164"/>
      <c r="G170" s="164"/>
      <c r="H170" s="213"/>
      <c r="I170" s="213"/>
      <c r="J170" s="213"/>
      <c r="K170" s="56"/>
      <c r="L170" s="56"/>
      <c r="M170" s="56"/>
      <c r="N170" s="56"/>
      <c r="O170" s="56"/>
      <c r="P170" s="56"/>
      <c r="Q170" s="56"/>
      <c r="R170" s="56"/>
      <c r="S170" s="56"/>
      <c r="T170" s="56"/>
      <c r="U170" s="56"/>
    </row>
    <row r="171" customFormat="false" ht="20.1" hidden="false" customHeight="true" outlineLevel="0" collapsed="false"/>
    <row r="172" customFormat="false" ht="20.1" hidden="false" customHeight="true" outlineLevel="0" collapsed="false"/>
    <row r="173" customFormat="false" ht="20.1" hidden="false" customHeight="true" outlineLevel="0" collapsed="false">
      <c r="B173" s="56"/>
      <c r="C173" s="56"/>
      <c r="D173" s="57"/>
      <c r="E173" s="57"/>
      <c r="F173" s="57"/>
      <c r="G173" s="57"/>
      <c r="H173" s="56"/>
      <c r="I173" s="56"/>
      <c r="J173" s="56"/>
      <c r="K173" s="56"/>
      <c r="L173" s="56"/>
      <c r="M173" s="56"/>
      <c r="N173" s="56"/>
      <c r="O173" s="56"/>
      <c r="P173" s="56"/>
      <c r="Q173" s="56"/>
      <c r="R173" s="56"/>
      <c r="S173" s="56"/>
      <c r="T173" s="56"/>
      <c r="U173" s="56"/>
    </row>
    <row r="174" customFormat="false" ht="30" hidden="false" customHeight="true" outlineLevel="0" collapsed="false">
      <c r="B174" s="56"/>
      <c r="C174" s="58" t="s">
        <v>134</v>
      </c>
      <c r="D174" s="58"/>
      <c r="E174" s="58"/>
      <c r="F174" s="58"/>
      <c r="G174" s="58"/>
      <c r="H174" s="58"/>
      <c r="I174" s="58"/>
      <c r="J174" s="58"/>
      <c r="K174" s="58"/>
      <c r="L174" s="58"/>
      <c r="M174" s="58"/>
      <c r="N174" s="58"/>
      <c r="O174" s="58"/>
      <c r="P174" s="58"/>
      <c r="Q174" s="58"/>
      <c r="R174" s="58"/>
      <c r="S174" s="58"/>
      <c r="T174" s="58"/>
      <c r="U174" s="56"/>
    </row>
    <row r="175" customFormat="false" ht="20.1" hidden="false" customHeight="true" outlineLevel="0" collapsed="false">
      <c r="B175" s="56"/>
      <c r="U175" s="56"/>
    </row>
    <row r="176" customFormat="false" ht="20.1" hidden="false" customHeight="true" outlineLevel="0" collapsed="false">
      <c r="B176" s="56"/>
      <c r="D176" s="59" t="s">
        <v>48</v>
      </c>
      <c r="E176" s="60" t="s">
        <v>49</v>
      </c>
      <c r="F176" s="61" t="s">
        <v>10</v>
      </c>
      <c r="G176" s="216" t="s">
        <v>50</v>
      </c>
      <c r="H176" s="216"/>
      <c r="I176" s="216"/>
      <c r="J176" s="216"/>
      <c r="K176" s="60" t="s">
        <v>51</v>
      </c>
      <c r="L176" s="62" t="s">
        <v>52</v>
      </c>
      <c r="M176" s="62"/>
      <c r="N176" s="62"/>
      <c r="O176" s="62"/>
      <c r="P176" s="62"/>
      <c r="Q176" s="62"/>
      <c r="R176" s="62"/>
      <c r="S176" s="62"/>
      <c r="U176" s="56"/>
    </row>
    <row r="177" customFormat="false" ht="20.1" hidden="false" customHeight="true" outlineLevel="0" collapsed="false">
      <c r="B177" s="56"/>
      <c r="D177" s="59"/>
      <c r="E177" s="60"/>
      <c r="F177" s="60"/>
      <c r="G177" s="66" t="s">
        <v>53</v>
      </c>
      <c r="H177" s="65" t="s">
        <v>54</v>
      </c>
      <c r="I177" s="61" t="s">
        <v>55</v>
      </c>
      <c r="J177" s="61"/>
      <c r="K177" s="65" t="s">
        <v>56</v>
      </c>
      <c r="L177" s="217" t="s">
        <v>53</v>
      </c>
      <c r="M177" s="218" t="s">
        <v>57</v>
      </c>
      <c r="N177" s="61" t="s">
        <v>55</v>
      </c>
      <c r="O177" s="61"/>
      <c r="P177" s="61"/>
      <c r="Q177" s="61"/>
      <c r="R177" s="61"/>
      <c r="S177" s="61"/>
      <c r="U177" s="56"/>
    </row>
    <row r="178" customFormat="false" ht="15" hidden="false" customHeight="true" outlineLevel="0" collapsed="false">
      <c r="B178" s="56"/>
      <c r="D178" s="67" t="s">
        <v>28</v>
      </c>
      <c r="E178" s="16" t="s">
        <v>29</v>
      </c>
      <c r="F178" s="20" t="n">
        <v>1</v>
      </c>
      <c r="G178" s="68" t="s">
        <v>58</v>
      </c>
      <c r="H178" s="293" t="s">
        <v>294</v>
      </c>
      <c r="I178" s="70" t="s">
        <v>295</v>
      </c>
      <c r="J178" s="70"/>
      <c r="K178" s="412" t="s">
        <v>296</v>
      </c>
      <c r="L178" s="413" t="s">
        <v>62</v>
      </c>
      <c r="M178" s="73" t="s">
        <v>62</v>
      </c>
      <c r="N178" s="74" t="s">
        <v>62</v>
      </c>
      <c r="O178" s="74"/>
      <c r="P178" s="74"/>
      <c r="Q178" s="74"/>
      <c r="R178" s="74"/>
      <c r="S178" s="74"/>
      <c r="U178" s="56"/>
    </row>
    <row r="179" customFormat="false" ht="15" hidden="false" customHeight="true" outlineLevel="0" collapsed="false">
      <c r="B179" s="56"/>
      <c r="D179" s="67"/>
      <c r="E179" s="16"/>
      <c r="F179" s="20"/>
      <c r="G179" s="68"/>
      <c r="H179" s="293"/>
      <c r="I179" s="75" t="s">
        <v>297</v>
      </c>
      <c r="J179" s="75"/>
      <c r="K179" s="412"/>
      <c r="L179" s="413"/>
      <c r="M179" s="73"/>
      <c r="N179" s="74"/>
      <c r="O179" s="74"/>
      <c r="P179" s="74"/>
      <c r="Q179" s="74"/>
      <c r="R179" s="74"/>
      <c r="S179" s="74"/>
      <c r="U179" s="56"/>
    </row>
    <row r="180" customFormat="false" ht="15" hidden="false" customHeight="true" outlineLevel="0" collapsed="false">
      <c r="B180" s="56"/>
      <c r="D180" s="67"/>
      <c r="E180" s="16"/>
      <c r="F180" s="20"/>
      <c r="G180" s="68"/>
      <c r="H180" s="293"/>
      <c r="I180" s="75" t="s">
        <v>298</v>
      </c>
      <c r="J180" s="75"/>
      <c r="K180" s="412"/>
      <c r="L180" s="413"/>
      <c r="M180" s="73"/>
      <c r="N180" s="74"/>
      <c r="O180" s="74"/>
      <c r="P180" s="74"/>
      <c r="Q180" s="74"/>
      <c r="R180" s="74"/>
      <c r="S180" s="74"/>
      <c r="U180" s="56"/>
    </row>
    <row r="181" customFormat="false" ht="15" hidden="false" customHeight="true" outlineLevel="0" collapsed="false">
      <c r="B181" s="56"/>
      <c r="D181" s="120" t="s">
        <v>35</v>
      </c>
      <c r="E181" s="29" t="s">
        <v>36</v>
      </c>
      <c r="F181" s="26" t="n">
        <v>2</v>
      </c>
      <c r="G181" s="78" t="s">
        <v>110</v>
      </c>
      <c r="H181" s="79" t="s">
        <v>299</v>
      </c>
      <c r="I181" s="80" t="s">
        <v>300</v>
      </c>
      <c r="J181" s="80"/>
      <c r="K181" s="295" t="s">
        <v>113</v>
      </c>
      <c r="L181" s="82" t="s">
        <v>62</v>
      </c>
      <c r="M181" s="297" t="s">
        <v>62</v>
      </c>
      <c r="N181" s="298" t="s">
        <v>62</v>
      </c>
      <c r="O181" s="298"/>
      <c r="P181" s="298"/>
      <c r="Q181" s="298"/>
      <c r="R181" s="298"/>
      <c r="S181" s="298"/>
      <c r="U181" s="56"/>
    </row>
    <row r="182" customFormat="false" ht="15" hidden="false" customHeight="true" outlineLevel="0" collapsed="false">
      <c r="B182" s="56"/>
      <c r="D182" s="120"/>
      <c r="E182" s="29"/>
      <c r="F182" s="26"/>
      <c r="G182" s="78"/>
      <c r="H182" s="79"/>
      <c r="I182" s="85" t="s">
        <v>301</v>
      </c>
      <c r="J182" s="85"/>
      <c r="K182" s="295"/>
      <c r="L182" s="82"/>
      <c r="M182" s="297"/>
      <c r="N182" s="298"/>
      <c r="O182" s="298"/>
      <c r="P182" s="298"/>
      <c r="Q182" s="298"/>
      <c r="R182" s="298"/>
      <c r="S182" s="298"/>
      <c r="U182" s="56"/>
    </row>
    <row r="183" customFormat="false" ht="15" hidden="false" customHeight="true" outlineLevel="0" collapsed="false">
      <c r="B183" s="56"/>
      <c r="D183" s="77" t="s">
        <v>24</v>
      </c>
      <c r="E183" s="23" t="s">
        <v>25</v>
      </c>
      <c r="F183" s="26" t="n">
        <v>3</v>
      </c>
      <c r="G183" s="230" t="s">
        <v>58</v>
      </c>
      <c r="H183" s="299" t="s">
        <v>296</v>
      </c>
      <c r="I183" s="91" t="s">
        <v>302</v>
      </c>
      <c r="J183" s="91"/>
      <c r="K183" s="414" t="s">
        <v>299</v>
      </c>
      <c r="L183" s="82" t="s">
        <v>62</v>
      </c>
      <c r="M183" s="297" t="s">
        <v>62</v>
      </c>
      <c r="N183" s="298" t="s">
        <v>62</v>
      </c>
      <c r="O183" s="298"/>
      <c r="P183" s="298"/>
      <c r="Q183" s="298"/>
      <c r="R183" s="298"/>
      <c r="S183" s="298"/>
      <c r="U183" s="56"/>
    </row>
    <row r="184" customFormat="false" ht="15" hidden="false" customHeight="true" outlineLevel="0" collapsed="false">
      <c r="B184" s="56"/>
      <c r="D184" s="77"/>
      <c r="E184" s="23"/>
      <c r="F184" s="26"/>
      <c r="G184" s="230"/>
      <c r="H184" s="299"/>
      <c r="I184" s="415" t="s">
        <v>303</v>
      </c>
      <c r="J184" s="415"/>
      <c r="K184" s="414"/>
      <c r="L184" s="82"/>
      <c r="M184" s="297"/>
      <c r="N184" s="298"/>
      <c r="O184" s="298"/>
      <c r="P184" s="298"/>
      <c r="Q184" s="298"/>
      <c r="R184" s="298"/>
      <c r="S184" s="298"/>
      <c r="U184" s="56"/>
    </row>
    <row r="185" customFormat="false" ht="15" hidden="false" customHeight="true" outlineLevel="0" collapsed="false">
      <c r="B185" s="56"/>
      <c r="D185" s="77"/>
      <c r="E185" s="23"/>
      <c r="F185" s="26"/>
      <c r="G185" s="230"/>
      <c r="H185" s="299"/>
      <c r="I185" s="96" t="s">
        <v>304</v>
      </c>
      <c r="J185" s="96"/>
      <c r="K185" s="414"/>
      <c r="L185" s="82"/>
      <c r="M185" s="297"/>
      <c r="N185" s="298"/>
      <c r="O185" s="298"/>
      <c r="P185" s="298"/>
      <c r="Q185" s="298"/>
      <c r="R185" s="298"/>
      <c r="S185" s="298"/>
      <c r="U185" s="56"/>
    </row>
    <row r="186" customFormat="false" ht="15" hidden="false" customHeight="true" outlineLevel="0" collapsed="false">
      <c r="B186" s="56"/>
      <c r="D186" s="77"/>
      <c r="E186" s="23"/>
      <c r="F186" s="26"/>
      <c r="G186" s="230"/>
      <c r="H186" s="299"/>
      <c r="I186" s="96" t="s">
        <v>305</v>
      </c>
      <c r="J186" s="96"/>
      <c r="K186" s="414"/>
      <c r="L186" s="82"/>
      <c r="M186" s="297"/>
      <c r="N186" s="298"/>
      <c r="O186" s="298"/>
      <c r="P186" s="298"/>
      <c r="Q186" s="298"/>
      <c r="R186" s="298"/>
      <c r="S186" s="298"/>
      <c r="U186" s="56"/>
    </row>
    <row r="187" customFormat="false" ht="15" hidden="false" customHeight="true" outlineLevel="0" collapsed="false">
      <c r="B187" s="56"/>
      <c r="D187" s="236" t="s">
        <v>159</v>
      </c>
      <c r="E187" s="39" t="s">
        <v>160</v>
      </c>
      <c r="F187" s="44" t="n">
        <v>4</v>
      </c>
      <c r="G187" s="237" t="s">
        <v>58</v>
      </c>
      <c r="H187" s="301" t="s">
        <v>306</v>
      </c>
      <c r="I187" s="101" t="s">
        <v>307</v>
      </c>
      <c r="J187" s="101"/>
      <c r="K187" s="416" t="s">
        <v>113</v>
      </c>
      <c r="L187" s="240" t="s">
        <v>62</v>
      </c>
      <c r="M187" s="241" t="s">
        <v>62</v>
      </c>
      <c r="N187" s="242" t="s">
        <v>62</v>
      </c>
      <c r="O187" s="242"/>
      <c r="P187" s="242"/>
      <c r="Q187" s="242"/>
      <c r="R187" s="242"/>
      <c r="S187" s="242"/>
      <c r="U187" s="56"/>
    </row>
    <row r="188" customFormat="false" ht="27.95" hidden="false" customHeight="true" outlineLevel="0" collapsed="false">
      <c r="B188" s="56"/>
      <c r="D188" s="236"/>
      <c r="E188" s="39"/>
      <c r="F188" s="44"/>
      <c r="G188" s="237"/>
      <c r="H188" s="301"/>
      <c r="I188" s="103" t="s">
        <v>308</v>
      </c>
      <c r="J188" s="103"/>
      <c r="K188" s="416"/>
      <c r="L188" s="240"/>
      <c r="M188" s="241"/>
      <c r="N188" s="241"/>
      <c r="O188" s="242"/>
      <c r="P188" s="242"/>
      <c r="Q188" s="242"/>
      <c r="R188" s="242"/>
      <c r="S188" s="242"/>
      <c r="U188" s="56"/>
    </row>
    <row r="189" customFormat="false" ht="15" hidden="false" customHeight="true" outlineLevel="0" collapsed="false">
      <c r="B189" s="56"/>
      <c r="D189" s="236"/>
      <c r="E189" s="39"/>
      <c r="F189" s="44"/>
      <c r="G189" s="237"/>
      <c r="H189" s="301"/>
      <c r="I189" s="103" t="s">
        <v>309</v>
      </c>
      <c r="J189" s="103"/>
      <c r="K189" s="416"/>
      <c r="L189" s="240"/>
      <c r="M189" s="241"/>
      <c r="N189" s="241"/>
      <c r="O189" s="242"/>
      <c r="P189" s="242"/>
      <c r="Q189" s="242"/>
      <c r="R189" s="242"/>
      <c r="S189" s="242"/>
      <c r="U189" s="56"/>
    </row>
    <row r="190" customFormat="false" ht="15.75" hidden="false" customHeight="true" outlineLevel="0" collapsed="false">
      <c r="B190" s="56"/>
      <c r="D190" s="236"/>
      <c r="E190" s="39"/>
      <c r="F190" s="44"/>
      <c r="G190" s="237"/>
      <c r="H190" s="301"/>
      <c r="I190" s="104" t="s">
        <v>310</v>
      </c>
      <c r="J190" s="104"/>
      <c r="K190" s="416"/>
      <c r="L190" s="240"/>
      <c r="M190" s="241"/>
      <c r="N190" s="241"/>
      <c r="O190" s="242"/>
      <c r="P190" s="242"/>
      <c r="Q190" s="242"/>
      <c r="R190" s="242"/>
      <c r="S190" s="242"/>
      <c r="U190" s="56"/>
    </row>
    <row r="191" customFormat="false" ht="20.1" hidden="false" customHeight="true" outlineLevel="0" collapsed="false">
      <c r="B191" s="56"/>
      <c r="U191" s="56"/>
    </row>
    <row r="192" customFormat="false" ht="20.1" hidden="false" customHeight="true" outlineLevel="0" collapsed="false">
      <c r="B192" s="56"/>
      <c r="C192" s="106"/>
      <c r="D192" s="106"/>
      <c r="E192" s="107" t="str">
        <f aca="false">IF(OR(L178="-",L178= ""),H178,L178)</f>
        <v>CATAN - Das Spiel</v>
      </c>
      <c r="F192" s="107"/>
      <c r="G192" s="107"/>
      <c r="H192" s="107"/>
      <c r="I192" s="107"/>
      <c r="J192" s="107"/>
      <c r="K192" s="107"/>
      <c r="L192" s="107"/>
      <c r="M192" s="107"/>
      <c r="N192" s="107"/>
      <c r="O192" s="108"/>
      <c r="P192" s="108"/>
      <c r="Q192" s="108"/>
      <c r="R192" s="108"/>
      <c r="S192" s="108"/>
      <c r="T192" s="106"/>
      <c r="U192" s="56"/>
    </row>
    <row r="193" customFormat="false" ht="50.1" hidden="false" customHeight="true" outlineLevel="0" collapsed="false">
      <c r="B193" s="56"/>
      <c r="C193" s="106"/>
      <c r="D193" s="108"/>
      <c r="E193" s="59" t="s">
        <v>48</v>
      </c>
      <c r="F193" s="109" t="s">
        <v>80</v>
      </c>
      <c r="G193" s="61" t="s">
        <v>81</v>
      </c>
      <c r="H193" s="60" t="s">
        <v>82</v>
      </c>
      <c r="I193" s="6" t="s">
        <v>83</v>
      </c>
      <c r="J193" s="60" t="s">
        <v>84</v>
      </c>
      <c r="K193" s="110" t="s">
        <v>85</v>
      </c>
      <c r="L193" s="60" t="s">
        <v>86</v>
      </c>
      <c r="M193" s="111" t="s">
        <v>87</v>
      </c>
      <c r="N193" s="61" t="s">
        <v>88</v>
      </c>
      <c r="O193" s="112" t="s">
        <v>89</v>
      </c>
      <c r="P193" s="113" t="s">
        <v>90</v>
      </c>
      <c r="Q193" s="113" t="s">
        <v>91</v>
      </c>
      <c r="R193" s="12" t="s">
        <v>92</v>
      </c>
      <c r="S193" s="108"/>
      <c r="T193" s="106"/>
      <c r="U193" s="56"/>
    </row>
    <row r="194" customFormat="false" ht="20.1" hidden="false" customHeight="true" outlineLevel="0" collapsed="false">
      <c r="B194" s="56"/>
      <c r="C194" s="106"/>
      <c r="D194" s="131"/>
      <c r="E194" s="303" t="s">
        <v>28</v>
      </c>
      <c r="F194" s="14" t="s">
        <v>29</v>
      </c>
      <c r="G194" s="258" t="n">
        <v>2</v>
      </c>
      <c r="H194" s="258" t="s">
        <v>62</v>
      </c>
      <c r="I194" s="258" t="n">
        <v>2</v>
      </c>
      <c r="J194" s="304" t="n">
        <v>4</v>
      </c>
      <c r="K194" s="258" t="s">
        <v>62</v>
      </c>
      <c r="L194" s="259" t="n">
        <f aca="false">IF(J194="",0,(J194/J198)*100)</f>
        <v>40</v>
      </c>
      <c r="M194" s="258" t="n">
        <v>3</v>
      </c>
      <c r="N194" s="260" t="n">
        <v>1</v>
      </c>
      <c r="O194" s="116" t="n">
        <f aca="false">IF(M194=1,1,0)</f>
        <v>0</v>
      </c>
      <c r="P194" s="117" t="n">
        <f aca="false">IF(M194=2,1,0)</f>
        <v>0</v>
      </c>
      <c r="Q194" s="117" t="n">
        <f aca="false">IF(M194=3,1,0)</f>
        <v>1</v>
      </c>
      <c r="R194" s="118" t="n">
        <f aca="false">IF(M194=4,1,0)</f>
        <v>0</v>
      </c>
      <c r="S194" s="119"/>
      <c r="T194" s="106"/>
      <c r="U194" s="56"/>
    </row>
    <row r="195" customFormat="false" ht="20.1" hidden="false" customHeight="true" outlineLevel="0" collapsed="false">
      <c r="B195" s="56"/>
      <c r="C195" s="106"/>
      <c r="D195" s="106"/>
      <c r="E195" s="77" t="s">
        <v>35</v>
      </c>
      <c r="F195" s="29" t="s">
        <v>36</v>
      </c>
      <c r="G195" s="248" t="n">
        <v>1</v>
      </c>
      <c r="H195" s="248" t="s">
        <v>62</v>
      </c>
      <c r="I195" s="248" t="n">
        <v>2</v>
      </c>
      <c r="J195" s="249" t="n">
        <v>3</v>
      </c>
      <c r="K195" s="249" t="s">
        <v>62</v>
      </c>
      <c r="L195" s="250" t="n">
        <f aca="false">IF(J195="",0,(J195/J198)*100)</f>
        <v>30</v>
      </c>
      <c r="M195" s="248" t="n">
        <v>4</v>
      </c>
      <c r="N195" s="251" t="n">
        <v>0</v>
      </c>
      <c r="O195" s="123" t="n">
        <f aca="false">IF(M195=1,1,0)</f>
        <v>0</v>
      </c>
      <c r="P195" s="124" t="n">
        <f aca="false">IF(M195=2,1,0)</f>
        <v>0</v>
      </c>
      <c r="Q195" s="124" t="n">
        <f aca="false">IF(M195=3,1,0)</f>
        <v>0</v>
      </c>
      <c r="R195" s="125" t="n">
        <f aca="false">IF(M195=4,1,0)</f>
        <v>1</v>
      </c>
      <c r="S195" s="119"/>
      <c r="T195" s="106"/>
      <c r="U195" s="56"/>
    </row>
    <row r="196" customFormat="false" ht="20.1" hidden="false" customHeight="true" outlineLevel="0" collapsed="false">
      <c r="B196" s="56"/>
      <c r="C196" s="106"/>
      <c r="D196" s="106"/>
      <c r="E196" s="77" t="s">
        <v>24</v>
      </c>
      <c r="F196" s="29" t="s">
        <v>25</v>
      </c>
      <c r="G196" s="248" t="n">
        <v>4</v>
      </c>
      <c r="H196" s="248" t="s">
        <v>62</v>
      </c>
      <c r="I196" s="248" t="n">
        <v>2</v>
      </c>
      <c r="J196" s="249" t="n">
        <v>5</v>
      </c>
      <c r="K196" s="249" t="s">
        <v>62</v>
      </c>
      <c r="L196" s="250" t="n">
        <f aca="false">IF(J196="",0,(J196/J198)*100)</f>
        <v>50</v>
      </c>
      <c r="M196" s="248" t="n">
        <v>2</v>
      </c>
      <c r="N196" s="251" t="n">
        <v>3</v>
      </c>
      <c r="O196" s="123" t="n">
        <f aca="false">IF(M196=1,1,0)</f>
        <v>0</v>
      </c>
      <c r="P196" s="124" t="n">
        <f aca="false">IF(M196=2,1,0)</f>
        <v>1</v>
      </c>
      <c r="Q196" s="124" t="n">
        <f aca="false">IF(M196=3,1,0)</f>
        <v>0</v>
      </c>
      <c r="R196" s="125" t="n">
        <f aca="false">IF(M196=4,1,0)</f>
        <v>0</v>
      </c>
      <c r="S196" s="119"/>
      <c r="T196" s="106"/>
      <c r="U196" s="56"/>
    </row>
    <row r="197" customFormat="false" ht="20.1" hidden="false" customHeight="true" outlineLevel="0" collapsed="false">
      <c r="B197" s="56"/>
      <c r="C197" s="106"/>
      <c r="D197" s="106"/>
      <c r="E197" s="261" t="s">
        <v>159</v>
      </c>
      <c r="F197" s="262" t="s">
        <v>160</v>
      </c>
      <c r="G197" s="263" t="n">
        <v>3</v>
      </c>
      <c r="H197" s="264" t="s">
        <v>62</v>
      </c>
      <c r="I197" s="263" t="n">
        <v>2</v>
      </c>
      <c r="J197" s="264" t="n">
        <v>10</v>
      </c>
      <c r="K197" s="264" t="s">
        <v>62</v>
      </c>
      <c r="L197" s="265" t="n">
        <f aca="false">IF(J197="",0,(J197/J198)*100)</f>
        <v>100</v>
      </c>
      <c r="M197" s="263" t="n">
        <v>1</v>
      </c>
      <c r="N197" s="266" t="n">
        <v>6</v>
      </c>
      <c r="O197" s="135" t="n">
        <f aca="false">IF(M197=1,1,0)</f>
        <v>1</v>
      </c>
      <c r="P197" s="136" t="n">
        <f aca="false">IF(M197=2,1,0)</f>
        <v>0</v>
      </c>
      <c r="Q197" s="136" t="n">
        <f aca="false">IF(M197=3,1,0)</f>
        <v>0</v>
      </c>
      <c r="R197" s="137" t="n">
        <f aca="false">IF(M197=4,1,0)</f>
        <v>0</v>
      </c>
      <c r="S197" s="119"/>
      <c r="T197" s="106"/>
      <c r="U197" s="56"/>
    </row>
    <row r="198" customFormat="false" ht="20.1" hidden="true" customHeight="true" outlineLevel="1" collapsed="false">
      <c r="B198" s="56"/>
      <c r="C198" s="106"/>
      <c r="D198" s="131"/>
      <c r="E198" s="131"/>
      <c r="F198" s="139"/>
      <c r="G198" s="139"/>
      <c r="H198" s="106"/>
      <c r="I198" s="170" t="s">
        <v>94</v>
      </c>
      <c r="J198" s="141" t="n">
        <f aca="false">MAX(J194:J197)</f>
        <v>10</v>
      </c>
      <c r="K198" s="257"/>
      <c r="L198" s="147"/>
      <c r="M198" s="106"/>
      <c r="N198" s="144" t="s">
        <v>95</v>
      </c>
      <c r="O198" s="145" t="n">
        <f aca="false">SUM(O194:O197)</f>
        <v>1</v>
      </c>
      <c r="P198" s="146" t="n">
        <f aca="false">SUM(P194:P197)</f>
        <v>1</v>
      </c>
      <c r="Q198" s="145" t="n">
        <f aca="false">SUM(Q194:Q197)</f>
        <v>1</v>
      </c>
      <c r="R198" s="158" t="n">
        <f aca="false">SUM(R194:R197)</f>
        <v>1</v>
      </c>
      <c r="S198" s="147"/>
      <c r="T198" s="106"/>
      <c r="U198" s="56"/>
    </row>
    <row r="199" customFormat="false" ht="20.1" hidden="false" customHeight="true" outlineLevel="0" collapsed="false">
      <c r="B199" s="56"/>
      <c r="C199" s="106"/>
      <c r="D199" s="106"/>
      <c r="E199" s="106"/>
      <c r="F199" s="106"/>
      <c r="G199" s="106"/>
      <c r="H199" s="106"/>
      <c r="I199" s="106"/>
      <c r="J199" s="106"/>
      <c r="K199" s="106"/>
      <c r="L199" s="106"/>
      <c r="M199" s="106"/>
      <c r="N199" s="106"/>
      <c r="O199" s="106"/>
      <c r="P199" s="106"/>
      <c r="Q199" s="106"/>
      <c r="R199" s="106"/>
      <c r="S199" s="106"/>
      <c r="T199" s="106"/>
      <c r="U199" s="56"/>
    </row>
    <row r="200" customFormat="false" ht="20.1" hidden="false" customHeight="true" outlineLevel="0" collapsed="false">
      <c r="B200" s="56"/>
      <c r="U200" s="56"/>
    </row>
    <row r="201" customFormat="false" ht="20.1" hidden="false" customHeight="true" outlineLevel="0" collapsed="false">
      <c r="B201" s="56"/>
      <c r="C201" s="149"/>
      <c r="D201" s="149"/>
      <c r="E201" s="150" t="str">
        <f aca="false">IF(OR(L181="-",L181= ""),H181,L181)</f>
        <v>Underwater Cities</v>
      </c>
      <c r="F201" s="150"/>
      <c r="G201" s="150"/>
      <c r="H201" s="150"/>
      <c r="I201" s="150"/>
      <c r="J201" s="150"/>
      <c r="K201" s="150"/>
      <c r="L201" s="150"/>
      <c r="M201" s="150"/>
      <c r="N201" s="150"/>
      <c r="O201" s="151"/>
      <c r="P201" s="151"/>
      <c r="Q201" s="151"/>
      <c r="R201" s="151"/>
      <c r="S201" s="151"/>
      <c r="T201" s="149"/>
      <c r="U201" s="56"/>
    </row>
    <row r="202" customFormat="false" ht="50.1" hidden="false" customHeight="true" outlineLevel="0" collapsed="false">
      <c r="B202" s="56"/>
      <c r="C202" s="149"/>
      <c r="D202" s="151"/>
      <c r="E202" s="59" t="s">
        <v>48</v>
      </c>
      <c r="F202" s="109" t="s">
        <v>80</v>
      </c>
      <c r="G202" s="61" t="s">
        <v>81</v>
      </c>
      <c r="H202" s="60" t="s">
        <v>82</v>
      </c>
      <c r="I202" s="6" t="s">
        <v>83</v>
      </c>
      <c r="J202" s="60" t="s">
        <v>84</v>
      </c>
      <c r="K202" s="110" t="s">
        <v>85</v>
      </c>
      <c r="L202" s="60" t="s">
        <v>86</v>
      </c>
      <c r="M202" s="111" t="s">
        <v>87</v>
      </c>
      <c r="N202" s="61" t="s">
        <v>88</v>
      </c>
      <c r="O202" s="112" t="s">
        <v>89</v>
      </c>
      <c r="P202" s="113" t="s">
        <v>90</v>
      </c>
      <c r="Q202" s="113" t="s">
        <v>91</v>
      </c>
      <c r="R202" s="12" t="s">
        <v>92</v>
      </c>
      <c r="S202" s="151"/>
      <c r="T202" s="149"/>
      <c r="U202" s="56"/>
    </row>
    <row r="203" customFormat="false" ht="20.1" hidden="false" customHeight="true" outlineLevel="0" collapsed="false">
      <c r="B203" s="56"/>
      <c r="C203" s="149"/>
      <c r="D203" s="153"/>
      <c r="E203" s="303" t="s">
        <v>28</v>
      </c>
      <c r="F203" s="14" t="s">
        <v>29</v>
      </c>
      <c r="G203" s="258" t="n">
        <v>2</v>
      </c>
      <c r="H203" s="258" t="s">
        <v>311</v>
      </c>
      <c r="I203" s="258" t="n">
        <v>2</v>
      </c>
      <c r="J203" s="304" t="n">
        <v>65</v>
      </c>
      <c r="K203" s="258" t="s">
        <v>62</v>
      </c>
      <c r="L203" s="259" t="n">
        <f aca="false">IF(J203="",0,(J203/J207)*100)</f>
        <v>52.8455284552846</v>
      </c>
      <c r="M203" s="258" t="n">
        <v>3</v>
      </c>
      <c r="N203" s="260" t="n">
        <v>1</v>
      </c>
      <c r="O203" s="116" t="n">
        <f aca="false">IF(M203=1,1,0)</f>
        <v>0</v>
      </c>
      <c r="P203" s="117" t="n">
        <f aca="false">IF(M203=2,1,0)</f>
        <v>0</v>
      </c>
      <c r="Q203" s="117" t="n">
        <f aca="false">IF(M203=3,1,0)</f>
        <v>1</v>
      </c>
      <c r="R203" s="118" t="n">
        <f aca="false">IF(M203=4,1,0)</f>
        <v>0</v>
      </c>
      <c r="S203" s="152"/>
      <c r="T203" s="149"/>
      <c r="U203" s="56"/>
    </row>
    <row r="204" customFormat="false" ht="20.1" hidden="false" customHeight="true" outlineLevel="0" collapsed="false">
      <c r="B204" s="56"/>
      <c r="C204" s="149"/>
      <c r="D204" s="149"/>
      <c r="E204" s="126" t="s">
        <v>35</v>
      </c>
      <c r="F204" s="127" t="s">
        <v>36</v>
      </c>
      <c r="G204" s="128" t="n">
        <v>1</v>
      </c>
      <c r="H204" s="128" t="s">
        <v>312</v>
      </c>
      <c r="I204" s="128" t="n">
        <v>2</v>
      </c>
      <c r="J204" s="305" t="n">
        <v>123</v>
      </c>
      <c r="K204" s="305" t="s">
        <v>62</v>
      </c>
      <c r="L204" s="129" t="n">
        <f aca="false">IF(J204="",0,(J204/J207)*100)</f>
        <v>100</v>
      </c>
      <c r="M204" s="128" t="n">
        <v>1</v>
      </c>
      <c r="N204" s="130" t="n">
        <v>6</v>
      </c>
      <c r="O204" s="123" t="n">
        <f aca="false">IF(M204=1,1,0)</f>
        <v>1</v>
      </c>
      <c r="P204" s="124" t="n">
        <f aca="false">IF(M204=2,1,0)</f>
        <v>0</v>
      </c>
      <c r="Q204" s="124" t="n">
        <f aca="false">IF(M204=3,1,0)</f>
        <v>0</v>
      </c>
      <c r="R204" s="125" t="n">
        <f aca="false">IF(M204=4,1,0)</f>
        <v>0</v>
      </c>
      <c r="S204" s="152"/>
      <c r="T204" s="149"/>
      <c r="U204" s="56"/>
    </row>
    <row r="205" customFormat="false" ht="20.1" hidden="false" customHeight="true" outlineLevel="0" collapsed="false">
      <c r="B205" s="56"/>
      <c r="C205" s="149"/>
      <c r="D205" s="153"/>
      <c r="E205" s="77" t="s">
        <v>24</v>
      </c>
      <c r="F205" s="29" t="s">
        <v>25</v>
      </c>
      <c r="G205" s="248" t="n">
        <v>3</v>
      </c>
      <c r="H205" s="248" t="s">
        <v>313</v>
      </c>
      <c r="I205" s="248" t="n">
        <v>2</v>
      </c>
      <c r="J205" s="249" t="n">
        <v>59</v>
      </c>
      <c r="K205" s="249" t="s">
        <v>62</v>
      </c>
      <c r="L205" s="250" t="n">
        <f aca="false">IF(J205="",0,(J205/J207)*100)</f>
        <v>47.9674796747968</v>
      </c>
      <c r="M205" s="248" t="n">
        <v>4</v>
      </c>
      <c r="N205" s="251" t="n">
        <v>0</v>
      </c>
      <c r="O205" s="123" t="n">
        <f aca="false">IF(M205=1,1,0)</f>
        <v>0</v>
      </c>
      <c r="P205" s="124" t="n">
        <f aca="false">IF(M205=2,1,0)</f>
        <v>0</v>
      </c>
      <c r="Q205" s="124" t="n">
        <f aca="false">IF(M205=3,1,0)</f>
        <v>0</v>
      </c>
      <c r="R205" s="125" t="n">
        <f aca="false">IF(M205=4,1,0)</f>
        <v>1</v>
      </c>
      <c r="S205" s="152"/>
      <c r="T205" s="149"/>
      <c r="U205" s="56"/>
    </row>
    <row r="206" customFormat="false" ht="20.1" hidden="false" customHeight="true" outlineLevel="0" collapsed="false">
      <c r="B206" s="56"/>
      <c r="C206" s="149"/>
      <c r="D206" s="149"/>
      <c r="E206" s="252" t="s">
        <v>159</v>
      </c>
      <c r="F206" s="39" t="s">
        <v>160</v>
      </c>
      <c r="G206" s="253" t="n">
        <v>4</v>
      </c>
      <c r="H206" s="253" t="s">
        <v>314</v>
      </c>
      <c r="I206" s="253" t="n">
        <v>2</v>
      </c>
      <c r="J206" s="254" t="n">
        <v>104</v>
      </c>
      <c r="K206" s="254" t="s">
        <v>62</v>
      </c>
      <c r="L206" s="255" t="n">
        <f aca="false">IF(J206="",0,(J206/J207)*100)</f>
        <v>84.5528455284553</v>
      </c>
      <c r="M206" s="253" t="n">
        <v>2</v>
      </c>
      <c r="N206" s="256" t="n">
        <v>3</v>
      </c>
      <c r="O206" s="135" t="n">
        <f aca="false">IF(M206=1,1,0)</f>
        <v>0</v>
      </c>
      <c r="P206" s="136" t="n">
        <f aca="false">IF(M206=2,1,0)</f>
        <v>1</v>
      </c>
      <c r="Q206" s="136" t="n">
        <f aca="false">IF(M206=3,1,0)</f>
        <v>0</v>
      </c>
      <c r="R206" s="137" t="n">
        <f aca="false">IF(M206=4,1,0)</f>
        <v>0</v>
      </c>
      <c r="S206" s="152"/>
      <c r="T206" s="149"/>
      <c r="U206" s="56"/>
    </row>
    <row r="207" customFormat="false" ht="20.1" hidden="true" customHeight="true" outlineLevel="1" collapsed="false">
      <c r="B207" s="56"/>
      <c r="C207" s="149"/>
      <c r="D207" s="149"/>
      <c r="E207" s="149"/>
      <c r="F207" s="155"/>
      <c r="G207" s="155"/>
      <c r="H207" s="149"/>
      <c r="I207" s="170" t="s">
        <v>94</v>
      </c>
      <c r="J207" s="141" t="n">
        <f aca="false">MAX(J203:J206)</f>
        <v>123</v>
      </c>
      <c r="K207" s="157"/>
      <c r="L207" s="152"/>
      <c r="M207" s="149"/>
      <c r="N207" s="144" t="s">
        <v>95</v>
      </c>
      <c r="O207" s="145" t="n">
        <f aca="false">SUM(O203:O206)</f>
        <v>1</v>
      </c>
      <c r="P207" s="146" t="n">
        <f aca="false">SUM(P203:P206)</f>
        <v>1</v>
      </c>
      <c r="Q207" s="145" t="n">
        <f aca="false">SUM(Q203:Q206)</f>
        <v>1</v>
      </c>
      <c r="R207" s="158" t="n">
        <f aca="false">SUM(R203:R206)</f>
        <v>1</v>
      </c>
      <c r="S207" s="159"/>
      <c r="T207" s="149"/>
      <c r="U207" s="56"/>
    </row>
    <row r="208" customFormat="false" ht="20.1" hidden="false" customHeight="true" outlineLevel="0" collapsed="false">
      <c r="B208" s="56"/>
      <c r="C208" s="149"/>
      <c r="D208" s="149"/>
      <c r="E208" s="149"/>
      <c r="F208" s="149"/>
      <c r="G208" s="149"/>
      <c r="H208" s="149"/>
      <c r="I208" s="149"/>
      <c r="J208" s="149"/>
      <c r="K208" s="149"/>
      <c r="L208" s="149"/>
      <c r="M208" s="149"/>
      <c r="N208" s="149"/>
      <c r="O208" s="149"/>
      <c r="P208" s="149"/>
      <c r="Q208" s="149"/>
      <c r="R208" s="149"/>
      <c r="S208" s="149"/>
      <c r="T208" s="149"/>
      <c r="U208" s="56"/>
    </row>
    <row r="209" customFormat="false" ht="20.1" hidden="false" customHeight="true" outlineLevel="0" collapsed="false">
      <c r="B209" s="56"/>
      <c r="D209" s="45"/>
      <c r="E209" s="45"/>
      <c r="F209" s="45"/>
      <c r="G209" s="45"/>
      <c r="H209" s="160"/>
      <c r="I209" s="45"/>
      <c r="J209" s="45"/>
      <c r="U209" s="56"/>
    </row>
    <row r="210" customFormat="false" ht="20.1" hidden="false" customHeight="true" outlineLevel="0" collapsed="false">
      <c r="B210" s="56"/>
      <c r="C210" s="161"/>
      <c r="D210" s="161"/>
      <c r="E210" s="162" t="str">
        <f aca="false">IF(OR(L183="-",L183= ""),H183,L183)</f>
        <v>Teotihuacan: Die Stadt der Götter</v>
      </c>
      <c r="F210" s="162"/>
      <c r="G210" s="162"/>
      <c r="H210" s="162"/>
      <c r="I210" s="162"/>
      <c r="J210" s="162"/>
      <c r="K210" s="162"/>
      <c r="L210" s="162"/>
      <c r="M210" s="162"/>
      <c r="N210" s="162"/>
      <c r="O210" s="163"/>
      <c r="P210" s="163"/>
      <c r="Q210" s="163"/>
      <c r="R210" s="163"/>
      <c r="S210" s="163"/>
      <c r="T210" s="161"/>
      <c r="U210" s="164"/>
    </row>
    <row r="211" customFormat="false" ht="50.1" hidden="false" customHeight="true" outlineLevel="0" collapsed="false">
      <c r="B211" s="56"/>
      <c r="C211" s="161"/>
      <c r="D211" s="163"/>
      <c r="E211" s="59" t="s">
        <v>48</v>
      </c>
      <c r="F211" s="109" t="s">
        <v>80</v>
      </c>
      <c r="G211" s="61" t="s">
        <v>81</v>
      </c>
      <c r="H211" s="60" t="s">
        <v>82</v>
      </c>
      <c r="I211" s="6" t="s">
        <v>83</v>
      </c>
      <c r="J211" s="60" t="s">
        <v>84</v>
      </c>
      <c r="K211" s="110" t="s">
        <v>85</v>
      </c>
      <c r="L211" s="60" t="s">
        <v>86</v>
      </c>
      <c r="M211" s="111" t="s">
        <v>87</v>
      </c>
      <c r="N211" s="61" t="s">
        <v>88</v>
      </c>
      <c r="O211" s="112" t="s">
        <v>89</v>
      </c>
      <c r="P211" s="113" t="s">
        <v>90</v>
      </c>
      <c r="Q211" s="113" t="s">
        <v>91</v>
      </c>
      <c r="R211" s="12" t="s">
        <v>92</v>
      </c>
      <c r="S211" s="163"/>
      <c r="T211" s="161"/>
      <c r="U211" s="164"/>
    </row>
    <row r="212" customFormat="false" ht="20.1" hidden="false" customHeight="true" outlineLevel="0" collapsed="false">
      <c r="B212" s="56"/>
      <c r="C212" s="161"/>
      <c r="D212" s="167"/>
      <c r="E212" s="303" t="s">
        <v>28</v>
      </c>
      <c r="F212" s="14" t="s">
        <v>29</v>
      </c>
      <c r="G212" s="258" t="n">
        <v>1</v>
      </c>
      <c r="H212" s="258" t="s">
        <v>62</v>
      </c>
      <c r="I212" s="258" t="n">
        <v>0</v>
      </c>
      <c r="J212" s="304" t="n">
        <v>118</v>
      </c>
      <c r="K212" s="258" t="s">
        <v>62</v>
      </c>
      <c r="L212" s="259" t="n">
        <f aca="false">IF(J212="",0,(J212/J216)*100)</f>
        <v>48.9626556016597</v>
      </c>
      <c r="M212" s="258" t="n">
        <v>4</v>
      </c>
      <c r="N212" s="260" t="n">
        <v>0</v>
      </c>
      <c r="O212" s="116" t="n">
        <f aca="false">IF(M212=1,1,0)</f>
        <v>0</v>
      </c>
      <c r="P212" s="117" t="n">
        <f aca="false">IF(M212=2,1,0)</f>
        <v>0</v>
      </c>
      <c r="Q212" s="117" t="n">
        <f aca="false">IF(M212=3,1,0)</f>
        <v>0</v>
      </c>
      <c r="R212" s="118" t="n">
        <f aca="false">IF(M212=4,1,0)</f>
        <v>1</v>
      </c>
      <c r="S212" s="166"/>
      <c r="T212" s="161"/>
      <c r="U212" s="56"/>
    </row>
    <row r="213" customFormat="false" ht="20.1" hidden="false" customHeight="true" outlineLevel="0" collapsed="false">
      <c r="B213" s="56"/>
      <c r="C213" s="161"/>
      <c r="D213" s="161"/>
      <c r="E213" s="77" t="s">
        <v>35</v>
      </c>
      <c r="F213" s="29" t="s">
        <v>36</v>
      </c>
      <c r="G213" s="248" t="n">
        <v>2</v>
      </c>
      <c r="H213" s="248" t="s">
        <v>62</v>
      </c>
      <c r="I213" s="248" t="n">
        <v>0</v>
      </c>
      <c r="J213" s="249" t="n">
        <v>137</v>
      </c>
      <c r="K213" s="249" t="s">
        <v>62</v>
      </c>
      <c r="L213" s="250" t="n">
        <f aca="false">IF(J213="",0,(J213/J216)*100)</f>
        <v>56.8464730290456</v>
      </c>
      <c r="M213" s="248" t="n">
        <v>3</v>
      </c>
      <c r="N213" s="251" t="n">
        <v>1</v>
      </c>
      <c r="O213" s="123" t="n">
        <f aca="false">IF(M213=1,1,0)</f>
        <v>0</v>
      </c>
      <c r="P213" s="124" t="n">
        <f aca="false">IF(M213=2,1,0)</f>
        <v>0</v>
      </c>
      <c r="Q213" s="124" t="n">
        <f aca="false">IF(M213=3,1,0)</f>
        <v>1</v>
      </c>
      <c r="R213" s="125" t="n">
        <f aca="false">IF(M213=4,1,0)</f>
        <v>0</v>
      </c>
      <c r="S213" s="166"/>
      <c r="T213" s="161"/>
      <c r="U213" s="168"/>
    </row>
    <row r="214" customFormat="false" ht="20.1" hidden="false" customHeight="true" outlineLevel="0" collapsed="false">
      <c r="B214" s="56"/>
      <c r="C214" s="161"/>
      <c r="D214" s="161"/>
      <c r="E214" s="126" t="s">
        <v>24</v>
      </c>
      <c r="F214" s="127" t="s">
        <v>25</v>
      </c>
      <c r="G214" s="128" t="n">
        <v>3</v>
      </c>
      <c r="H214" s="128" t="s">
        <v>62</v>
      </c>
      <c r="I214" s="128" t="n">
        <v>0</v>
      </c>
      <c r="J214" s="305" t="n">
        <v>241</v>
      </c>
      <c r="K214" s="305" t="s">
        <v>62</v>
      </c>
      <c r="L214" s="129" t="n">
        <f aca="false">IF(J214="",0,(J214/J216)*100)</f>
        <v>100</v>
      </c>
      <c r="M214" s="128" t="n">
        <v>1</v>
      </c>
      <c r="N214" s="130" t="n">
        <v>6</v>
      </c>
      <c r="O214" s="123" t="n">
        <f aca="false">IF(M214=1,1,0)</f>
        <v>1</v>
      </c>
      <c r="P214" s="124" t="n">
        <f aca="false">IF(M214=2,1,0)</f>
        <v>0</v>
      </c>
      <c r="Q214" s="124" t="n">
        <f aca="false">IF(M214=3,1,0)</f>
        <v>0</v>
      </c>
      <c r="R214" s="125" t="n">
        <f aca="false">IF(M214=4,1,0)</f>
        <v>0</v>
      </c>
      <c r="S214" s="166"/>
      <c r="T214" s="161"/>
      <c r="U214" s="168"/>
    </row>
    <row r="215" customFormat="false" ht="20.1" hidden="false" customHeight="true" outlineLevel="0" collapsed="false">
      <c r="B215" s="56"/>
      <c r="C215" s="161"/>
      <c r="D215" s="161"/>
      <c r="E215" s="252" t="s">
        <v>159</v>
      </c>
      <c r="F215" s="39" t="s">
        <v>160</v>
      </c>
      <c r="G215" s="253" t="n">
        <v>4</v>
      </c>
      <c r="H215" s="254" t="s">
        <v>62</v>
      </c>
      <c r="I215" s="253" t="n">
        <v>0</v>
      </c>
      <c r="J215" s="254" t="n">
        <v>143</v>
      </c>
      <c r="K215" s="254" t="s">
        <v>62</v>
      </c>
      <c r="L215" s="255" t="n">
        <f aca="false">IF(J215="",0,(J215/J216)*100)</f>
        <v>59.3360995850622</v>
      </c>
      <c r="M215" s="253" t="n">
        <v>2</v>
      </c>
      <c r="N215" s="256" t="n">
        <v>3</v>
      </c>
      <c r="O215" s="135" t="n">
        <f aca="false">IF(M215=1,1,0)</f>
        <v>0</v>
      </c>
      <c r="P215" s="136" t="n">
        <f aca="false">IF(M215=2,1,0)</f>
        <v>1</v>
      </c>
      <c r="Q215" s="136" t="n">
        <f aca="false">IF(M215=3,1,0)</f>
        <v>0</v>
      </c>
      <c r="R215" s="137" t="n">
        <f aca="false">IF(M215=4,1,0)</f>
        <v>0</v>
      </c>
      <c r="S215" s="166"/>
      <c r="T215" s="161"/>
      <c r="U215" s="168"/>
    </row>
    <row r="216" customFormat="false" ht="20.1" hidden="true" customHeight="true" outlineLevel="1" collapsed="false">
      <c r="B216" s="56"/>
      <c r="C216" s="161"/>
      <c r="D216" s="161"/>
      <c r="E216" s="161"/>
      <c r="F216" s="169"/>
      <c r="G216" s="169"/>
      <c r="H216" s="161"/>
      <c r="I216" s="170" t="s">
        <v>94</v>
      </c>
      <c r="J216" s="141" t="n">
        <f aca="false">MAX(J212:J215)</f>
        <v>241</v>
      </c>
      <c r="K216" s="171"/>
      <c r="L216" s="166"/>
      <c r="M216" s="161"/>
      <c r="N216" s="144" t="s">
        <v>95</v>
      </c>
      <c r="O216" s="145" t="n">
        <f aca="false">SUM(O212:O215)</f>
        <v>1</v>
      </c>
      <c r="P216" s="146" t="n">
        <f aca="false">SUM(P212:P215)</f>
        <v>1</v>
      </c>
      <c r="Q216" s="145" t="n">
        <f aca="false">SUM(Q212:Q215)</f>
        <v>1</v>
      </c>
      <c r="R216" s="158" t="n">
        <f aca="false">SUM(R212:R215)</f>
        <v>1</v>
      </c>
      <c r="S216" s="172"/>
      <c r="T216" s="161"/>
      <c r="U216" s="168"/>
    </row>
    <row r="217" customFormat="false" ht="20.1" hidden="false" customHeight="true" outlineLevel="0" collapsed="false">
      <c r="B217" s="56"/>
      <c r="C217" s="161"/>
      <c r="D217" s="161"/>
      <c r="E217" s="161"/>
      <c r="F217" s="161"/>
      <c r="G217" s="161"/>
      <c r="H217" s="161"/>
      <c r="I217" s="161"/>
      <c r="J217" s="161"/>
      <c r="K217" s="161"/>
      <c r="L217" s="161"/>
      <c r="M217" s="161"/>
      <c r="N217" s="161"/>
      <c r="O217" s="161"/>
      <c r="P217" s="161"/>
      <c r="Q217" s="161"/>
      <c r="R217" s="161"/>
      <c r="S217" s="161"/>
      <c r="T217" s="161"/>
      <c r="U217" s="168"/>
    </row>
    <row r="218" customFormat="false" ht="20.1" hidden="false" customHeight="true" outlineLevel="0" collapsed="false">
      <c r="B218" s="56"/>
      <c r="D218" s="45"/>
      <c r="E218" s="45"/>
      <c r="F218" s="45"/>
      <c r="G218" s="45"/>
      <c r="H218" s="160"/>
      <c r="I218" s="45"/>
      <c r="J218" s="45"/>
      <c r="K218" s="45"/>
      <c r="U218" s="56"/>
    </row>
    <row r="219" customFormat="false" ht="20.1" hidden="false" customHeight="true" outlineLevel="0" collapsed="false">
      <c r="B219" s="56"/>
      <c r="C219" s="173"/>
      <c r="D219" s="173"/>
      <c r="E219" s="174" t="str">
        <f aca="false">IF(OR(M187="-",M187= ""),H187,M187)</f>
        <v>Azul</v>
      </c>
      <c r="F219" s="174"/>
      <c r="G219" s="174"/>
      <c r="H219" s="174"/>
      <c r="I219" s="174"/>
      <c r="J219" s="174"/>
      <c r="K219" s="174"/>
      <c r="L219" s="174"/>
      <c r="M219" s="174"/>
      <c r="N219" s="174"/>
      <c r="O219" s="175"/>
      <c r="P219" s="175"/>
      <c r="Q219" s="175"/>
      <c r="R219" s="175"/>
      <c r="S219" s="175"/>
      <c r="T219" s="173"/>
      <c r="U219" s="56"/>
    </row>
    <row r="220" customFormat="false" ht="50.1" hidden="false" customHeight="true" outlineLevel="0" collapsed="false">
      <c r="B220" s="56"/>
      <c r="C220" s="173"/>
      <c r="D220" s="175"/>
      <c r="E220" s="59" t="s">
        <v>48</v>
      </c>
      <c r="F220" s="109" t="s">
        <v>80</v>
      </c>
      <c r="G220" s="61" t="s">
        <v>81</v>
      </c>
      <c r="H220" s="60" t="s">
        <v>82</v>
      </c>
      <c r="I220" s="6" t="s">
        <v>83</v>
      </c>
      <c r="J220" s="60" t="s">
        <v>84</v>
      </c>
      <c r="K220" s="110" t="s">
        <v>85</v>
      </c>
      <c r="L220" s="60" t="s">
        <v>86</v>
      </c>
      <c r="M220" s="111" t="s">
        <v>87</v>
      </c>
      <c r="N220" s="61" t="s">
        <v>88</v>
      </c>
      <c r="O220" s="112" t="s">
        <v>89</v>
      </c>
      <c r="P220" s="113" t="s">
        <v>90</v>
      </c>
      <c r="Q220" s="113" t="s">
        <v>91</v>
      </c>
      <c r="R220" s="12" t="s">
        <v>92</v>
      </c>
      <c r="S220" s="175"/>
      <c r="T220" s="173"/>
      <c r="U220" s="56"/>
    </row>
    <row r="221" customFormat="false" ht="20.1" hidden="false" customHeight="true" outlineLevel="0" collapsed="false">
      <c r="B221" s="56"/>
      <c r="C221" s="173"/>
      <c r="D221" s="173"/>
      <c r="E221" s="303" t="s">
        <v>28</v>
      </c>
      <c r="F221" s="14" t="s">
        <v>29</v>
      </c>
      <c r="G221" s="258" t="n">
        <v>3</v>
      </c>
      <c r="H221" s="258" t="s">
        <v>62</v>
      </c>
      <c r="I221" s="258" t="n">
        <v>0</v>
      </c>
      <c r="J221" s="304" t="n">
        <v>41</v>
      </c>
      <c r="K221" s="258" t="s">
        <v>62</v>
      </c>
      <c r="L221" s="259" t="n">
        <f aca="false">IF(J221="",0,(J221/J225)*100)</f>
        <v>53.9473684210526</v>
      </c>
      <c r="M221" s="258" t="n">
        <v>3</v>
      </c>
      <c r="N221" s="260" t="n">
        <v>1</v>
      </c>
      <c r="O221" s="116" t="n">
        <f aca="false">IF(M221=1,1,0)</f>
        <v>0</v>
      </c>
      <c r="P221" s="117" t="n">
        <f aca="false">IF(M221=2,1,0)</f>
        <v>0</v>
      </c>
      <c r="Q221" s="117" t="n">
        <f aca="false">IF(M221=3,1,0)</f>
        <v>1</v>
      </c>
      <c r="R221" s="118" t="n">
        <f aca="false">IF(M221=4,1,0)</f>
        <v>0</v>
      </c>
      <c r="S221" s="176"/>
      <c r="T221" s="173"/>
      <c r="U221" s="56"/>
    </row>
    <row r="222" customFormat="false" ht="20.1" hidden="false" customHeight="true" outlineLevel="0" collapsed="false">
      <c r="B222" s="56"/>
      <c r="C222" s="173"/>
      <c r="D222" s="173"/>
      <c r="E222" s="77" t="s">
        <v>35</v>
      </c>
      <c r="F222" s="29" t="s">
        <v>36</v>
      </c>
      <c r="G222" s="248" t="n">
        <v>4</v>
      </c>
      <c r="H222" s="248" t="s">
        <v>62</v>
      </c>
      <c r="I222" s="248" t="n">
        <v>0</v>
      </c>
      <c r="J222" s="249" t="n">
        <v>36</v>
      </c>
      <c r="K222" s="249" t="s">
        <v>62</v>
      </c>
      <c r="L222" s="250" t="n">
        <f aca="false">IF(J222="",0,(J222/J225)*100)</f>
        <v>47.3684210526316</v>
      </c>
      <c r="M222" s="248" t="n">
        <v>4</v>
      </c>
      <c r="N222" s="251" t="n">
        <v>0</v>
      </c>
      <c r="O222" s="123" t="n">
        <f aca="false">IF(M222=1,1,0)</f>
        <v>0</v>
      </c>
      <c r="P222" s="124" t="n">
        <f aca="false">IF(M222=2,1,0)</f>
        <v>0</v>
      </c>
      <c r="Q222" s="124" t="n">
        <f aca="false">IF(M222=3,1,0)</f>
        <v>0</v>
      </c>
      <c r="R222" s="125" t="n">
        <f aca="false">IF(M222=4,1,0)</f>
        <v>1</v>
      </c>
      <c r="S222" s="176"/>
      <c r="T222" s="173"/>
      <c r="U222" s="56"/>
    </row>
    <row r="223" customFormat="false" ht="20.1" hidden="false" customHeight="true" outlineLevel="0" collapsed="false">
      <c r="B223" s="56"/>
      <c r="C223" s="173"/>
      <c r="D223" s="173"/>
      <c r="E223" s="126" t="s">
        <v>24</v>
      </c>
      <c r="F223" s="127" t="s">
        <v>25</v>
      </c>
      <c r="G223" s="128" t="n">
        <v>1</v>
      </c>
      <c r="H223" s="128" t="s">
        <v>62</v>
      </c>
      <c r="I223" s="128" t="n">
        <v>0</v>
      </c>
      <c r="J223" s="305" t="n">
        <v>76</v>
      </c>
      <c r="K223" s="305" t="s">
        <v>62</v>
      </c>
      <c r="L223" s="129" t="n">
        <f aca="false">IF(J223="",0,(J223/J225)*100)</f>
        <v>100</v>
      </c>
      <c r="M223" s="128" t="n">
        <v>1</v>
      </c>
      <c r="N223" s="130" t="n">
        <v>6</v>
      </c>
      <c r="O223" s="123" t="n">
        <f aca="false">IF(M223=1,1,0)</f>
        <v>1</v>
      </c>
      <c r="P223" s="124" t="n">
        <f aca="false">IF(M223=2,1,0)</f>
        <v>0</v>
      </c>
      <c r="Q223" s="124" t="n">
        <f aca="false">IF(M223=3,1,0)</f>
        <v>0</v>
      </c>
      <c r="R223" s="125" t="n">
        <f aca="false">IF(M223=4,1,0)</f>
        <v>0</v>
      </c>
      <c r="S223" s="176"/>
      <c r="T223" s="173"/>
      <c r="U223" s="56"/>
    </row>
    <row r="224" customFormat="false" ht="20.1" hidden="false" customHeight="true" outlineLevel="0" collapsed="false">
      <c r="B224" s="56"/>
      <c r="C224" s="173"/>
      <c r="D224" s="177"/>
      <c r="E224" s="252" t="s">
        <v>159</v>
      </c>
      <c r="F224" s="39" t="s">
        <v>160</v>
      </c>
      <c r="G224" s="253" t="n">
        <v>2</v>
      </c>
      <c r="H224" s="254" t="s">
        <v>62</v>
      </c>
      <c r="I224" s="253" t="n">
        <v>0</v>
      </c>
      <c r="J224" s="254" t="n">
        <v>57</v>
      </c>
      <c r="K224" s="254" t="s">
        <v>62</v>
      </c>
      <c r="L224" s="255" t="n">
        <f aca="false">IF(J224="",0,(J224/J225)*100)</f>
        <v>75</v>
      </c>
      <c r="M224" s="253" t="n">
        <v>2</v>
      </c>
      <c r="N224" s="256" t="n">
        <v>3</v>
      </c>
      <c r="O224" s="135" t="n">
        <f aca="false">IF(M224=1,1,0)</f>
        <v>0</v>
      </c>
      <c r="P224" s="136" t="n">
        <f aca="false">IF(M224=2,1,0)</f>
        <v>1</v>
      </c>
      <c r="Q224" s="136" t="n">
        <f aca="false">IF(M224=3,1,0)</f>
        <v>0</v>
      </c>
      <c r="R224" s="137" t="n">
        <f aca="false">IF(M224=4,1,0)</f>
        <v>0</v>
      </c>
      <c r="S224" s="176"/>
      <c r="T224" s="173"/>
      <c r="U224" s="56"/>
    </row>
    <row r="225" customFormat="false" ht="20.1" hidden="true" customHeight="true" outlineLevel="1" collapsed="false">
      <c r="B225" s="56"/>
      <c r="C225" s="173"/>
      <c r="D225" s="173"/>
      <c r="E225" s="173"/>
      <c r="F225" s="178"/>
      <c r="G225" s="178"/>
      <c r="H225" s="173"/>
      <c r="I225" s="170" t="s">
        <v>94</v>
      </c>
      <c r="J225" s="141" t="n">
        <f aca="false">MAX(J221:J224)</f>
        <v>76</v>
      </c>
      <c r="K225" s="179"/>
      <c r="L225" s="176"/>
      <c r="M225" s="173"/>
      <c r="N225" s="144" t="s">
        <v>95</v>
      </c>
      <c r="O225" s="145" t="n">
        <f aca="false">SUM(O221:O224)</f>
        <v>1</v>
      </c>
      <c r="P225" s="146" t="n">
        <f aca="false">SUM(P221:P224)</f>
        <v>1</v>
      </c>
      <c r="Q225" s="145" t="n">
        <f aca="false">SUM(Q221:Q224)</f>
        <v>1</v>
      </c>
      <c r="R225" s="158" t="n">
        <f aca="false">SUM(R221:R224)</f>
        <v>1</v>
      </c>
      <c r="S225" s="180"/>
      <c r="T225" s="173"/>
      <c r="U225" s="56"/>
    </row>
    <row r="226" customFormat="false" ht="20.1" hidden="false" customHeight="true" outlineLevel="0" collapsed="false">
      <c r="B226" s="56"/>
      <c r="C226" s="173"/>
      <c r="D226" s="173"/>
      <c r="E226" s="173"/>
      <c r="F226" s="173"/>
      <c r="G226" s="173"/>
      <c r="H226" s="173"/>
      <c r="I226" s="173"/>
      <c r="J226" s="173"/>
      <c r="K226" s="173"/>
      <c r="L226" s="173"/>
      <c r="M226" s="173"/>
      <c r="N226" s="173"/>
      <c r="O226" s="173"/>
      <c r="P226" s="173"/>
      <c r="Q226" s="173"/>
      <c r="R226" s="173"/>
      <c r="S226" s="173"/>
      <c r="T226" s="173"/>
      <c r="U226" s="56"/>
    </row>
    <row r="227" customFormat="false" ht="20.1" hidden="false" customHeight="true" outlineLevel="0" collapsed="false">
      <c r="B227" s="56"/>
      <c r="D227" s="5"/>
      <c r="E227" s="5"/>
      <c r="F227" s="5"/>
      <c r="G227" s="5"/>
      <c r="H227" s="5"/>
      <c r="I227" s="5"/>
      <c r="J227" s="5"/>
      <c r="U227" s="56"/>
    </row>
    <row r="228" customFormat="false" ht="30" hidden="false" customHeight="true" outlineLevel="0" collapsed="false">
      <c r="B228" s="56"/>
      <c r="C228" s="181"/>
      <c r="D228" s="182" t="s">
        <v>152</v>
      </c>
      <c r="E228" s="182"/>
      <c r="F228" s="182"/>
      <c r="G228" s="182"/>
      <c r="H228" s="182"/>
      <c r="I228" s="182"/>
      <c r="J228" s="182"/>
      <c r="K228" s="182"/>
      <c r="L228" s="182"/>
      <c r="M228" s="182"/>
      <c r="N228" s="182"/>
      <c r="O228" s="182"/>
      <c r="P228" s="182"/>
      <c r="Q228" s="182"/>
      <c r="R228" s="182"/>
      <c r="S228" s="182"/>
      <c r="T228" s="181"/>
      <c r="U228" s="56"/>
    </row>
    <row r="229" customFormat="false" ht="50.1" hidden="false" customHeight="true" outlineLevel="0" collapsed="false">
      <c r="B229" s="56"/>
      <c r="C229" s="181"/>
      <c r="D229" s="183" t="s">
        <v>48</v>
      </c>
      <c r="E229" s="184" t="s">
        <v>49</v>
      </c>
      <c r="F229" s="185" t="s">
        <v>88</v>
      </c>
      <c r="G229" s="186" t="s">
        <v>101</v>
      </c>
      <c r="H229" s="187" t="s">
        <v>102</v>
      </c>
      <c r="I229" s="187"/>
      <c r="J229" s="188" t="s">
        <v>103</v>
      </c>
      <c r="K229" s="189" t="s">
        <v>104</v>
      </c>
      <c r="L229" s="185" t="s">
        <v>105</v>
      </c>
      <c r="M229" s="189" t="s">
        <v>106</v>
      </c>
      <c r="N229" s="185" t="s">
        <v>107</v>
      </c>
      <c r="O229" s="190"/>
      <c r="P229" s="191"/>
      <c r="Q229" s="191"/>
      <c r="R229" s="191"/>
      <c r="S229" s="184" t="s">
        <v>108</v>
      </c>
      <c r="T229" s="181"/>
      <c r="U229" s="56"/>
    </row>
    <row r="230" customFormat="false" ht="20.1" hidden="false" customHeight="true" outlineLevel="0" collapsed="false">
      <c r="B230" s="56"/>
      <c r="C230" s="181"/>
      <c r="D230" s="306" t="s">
        <v>24</v>
      </c>
      <c r="E230" s="268" t="s">
        <v>25</v>
      </c>
      <c r="F230" s="269" t="n">
        <f aca="false">K230*6+L230*3+M230*1+N230*0</f>
        <v>15</v>
      </c>
      <c r="G230" s="270" t="n">
        <v>0</v>
      </c>
      <c r="H230" s="270" t="s">
        <v>62</v>
      </c>
      <c r="I230" s="270"/>
      <c r="J230" s="269" t="n">
        <f aca="false">F230+G230</f>
        <v>15</v>
      </c>
      <c r="K230" s="269" t="n">
        <v>2</v>
      </c>
      <c r="L230" s="269" t="n">
        <v>1</v>
      </c>
      <c r="M230" s="269" t="n">
        <v>0</v>
      </c>
      <c r="N230" s="269" t="n">
        <v>1</v>
      </c>
      <c r="O230" s="271"/>
      <c r="P230" s="270"/>
      <c r="Q230" s="270"/>
      <c r="R230" s="270"/>
      <c r="S230" s="272" t="n">
        <f aca="false">(L196+L205+L214+L223)/4</f>
        <v>74.4918699186992</v>
      </c>
      <c r="T230" s="181"/>
      <c r="U230" s="56"/>
    </row>
    <row r="231" customFormat="false" ht="20.1" hidden="false" customHeight="true" outlineLevel="0" collapsed="false">
      <c r="B231" s="56"/>
      <c r="C231" s="181"/>
      <c r="D231" s="273" t="s">
        <v>159</v>
      </c>
      <c r="E231" s="274" t="s">
        <v>160</v>
      </c>
      <c r="F231" s="275" t="n">
        <f aca="false">K231*6+L231*3+M231*1+N231*0</f>
        <v>15</v>
      </c>
      <c r="G231" s="276" t="n">
        <v>0</v>
      </c>
      <c r="H231" s="276" t="s">
        <v>62</v>
      </c>
      <c r="I231" s="276"/>
      <c r="J231" s="275" t="n">
        <f aca="false">F231+G231</f>
        <v>15</v>
      </c>
      <c r="K231" s="275" t="n">
        <v>1</v>
      </c>
      <c r="L231" s="275" t="n">
        <v>3</v>
      </c>
      <c r="M231" s="275" t="n">
        <v>0</v>
      </c>
      <c r="N231" s="275" t="n">
        <v>0</v>
      </c>
      <c r="O231" s="277"/>
      <c r="P231" s="276"/>
      <c r="Q231" s="276"/>
      <c r="R231" s="276"/>
      <c r="S231" s="278" t="n">
        <f aca="false">(L197+L206+L215+L224)/4</f>
        <v>79.7222362783794</v>
      </c>
      <c r="T231" s="181"/>
      <c r="U231" s="56"/>
      <c r="Y231" s="279"/>
      <c r="Z231" s="279"/>
      <c r="AA231" s="280"/>
      <c r="AB231" s="280"/>
      <c r="AC231" s="281"/>
      <c r="AD231" s="281"/>
      <c r="AE231" s="281"/>
    </row>
    <row r="232" customFormat="false" ht="20.1" hidden="false" customHeight="true" outlineLevel="0" collapsed="false">
      <c r="B232" s="56"/>
      <c r="C232" s="181"/>
      <c r="D232" s="273" t="s">
        <v>35</v>
      </c>
      <c r="E232" s="274" t="s">
        <v>36</v>
      </c>
      <c r="F232" s="275" t="n">
        <f aca="false">K232*6+L232*3+M232*1+N232*0</f>
        <v>7</v>
      </c>
      <c r="G232" s="276" t="n">
        <v>0</v>
      </c>
      <c r="H232" s="276" t="s">
        <v>62</v>
      </c>
      <c r="I232" s="276"/>
      <c r="J232" s="275" t="n">
        <f aca="false">F232+G232</f>
        <v>7</v>
      </c>
      <c r="K232" s="275" t="n">
        <v>1</v>
      </c>
      <c r="L232" s="275" t="n">
        <v>0</v>
      </c>
      <c r="M232" s="275" t="n">
        <v>1</v>
      </c>
      <c r="N232" s="275" t="n">
        <v>2</v>
      </c>
      <c r="O232" s="277"/>
      <c r="P232" s="276"/>
      <c r="Q232" s="276"/>
      <c r="R232" s="276"/>
      <c r="S232" s="278" t="n">
        <f aca="false">(L195++L204+L213+L222)/4</f>
        <v>58.5537235204193</v>
      </c>
      <c r="T232" s="181"/>
      <c r="U232" s="56"/>
    </row>
    <row r="233" customFormat="false" ht="20.1" hidden="false" customHeight="true" outlineLevel="0" collapsed="false">
      <c r="B233" s="56"/>
      <c r="C233" s="181"/>
      <c r="D233" s="282" t="s">
        <v>28</v>
      </c>
      <c r="E233" s="283" t="s">
        <v>29</v>
      </c>
      <c r="F233" s="284" t="n">
        <f aca="false">K233*6+L233*3+M233*1+N233*0</f>
        <v>3</v>
      </c>
      <c r="G233" s="285" t="n">
        <v>0</v>
      </c>
      <c r="H233" s="285" t="s">
        <v>62</v>
      </c>
      <c r="I233" s="285"/>
      <c r="J233" s="284" t="n">
        <f aca="false">F233+G233</f>
        <v>3</v>
      </c>
      <c r="K233" s="284" t="n">
        <v>0</v>
      </c>
      <c r="L233" s="284" t="n">
        <v>0</v>
      </c>
      <c r="M233" s="284" t="n">
        <v>3</v>
      </c>
      <c r="N233" s="284" t="n">
        <v>1</v>
      </c>
      <c r="O233" s="286"/>
      <c r="P233" s="285"/>
      <c r="Q233" s="285"/>
      <c r="R233" s="285"/>
      <c r="S233" s="287" t="n">
        <f aca="false">(L194+L203+L212+L221)/4</f>
        <v>48.9388881194992</v>
      </c>
      <c r="T233" s="181"/>
      <c r="U233" s="56"/>
    </row>
    <row r="234" customFormat="false" ht="20.1" hidden="false" customHeight="true" outlineLevel="0" collapsed="false">
      <c r="B234" s="56"/>
      <c r="C234" s="181"/>
      <c r="D234" s="307"/>
      <c r="E234" s="307"/>
      <c r="F234" s="288"/>
      <c r="G234" s="289"/>
      <c r="H234" s="290"/>
      <c r="I234" s="290"/>
      <c r="J234" s="288"/>
      <c r="K234" s="288"/>
      <c r="L234" s="288"/>
      <c r="M234" s="288"/>
      <c r="N234" s="288"/>
      <c r="O234" s="291"/>
      <c r="P234" s="289"/>
      <c r="Q234" s="289"/>
      <c r="R234" s="289"/>
      <c r="S234" s="292"/>
      <c r="T234" s="181"/>
      <c r="U234" s="56"/>
    </row>
    <row r="235" customFormat="false" ht="20.1" hidden="false" customHeight="true" outlineLevel="0" collapsed="false">
      <c r="B235" s="56"/>
      <c r="C235" s="56"/>
      <c r="D235" s="213"/>
      <c r="E235" s="213"/>
      <c r="F235" s="164"/>
      <c r="G235" s="164"/>
      <c r="H235" s="213"/>
      <c r="I235" s="213"/>
      <c r="J235" s="213"/>
      <c r="K235" s="56"/>
      <c r="L235" s="56"/>
      <c r="M235" s="56"/>
      <c r="N235" s="56"/>
      <c r="O235" s="56"/>
      <c r="P235" s="56"/>
      <c r="Q235" s="56"/>
      <c r="R235" s="56"/>
      <c r="S235" s="56"/>
      <c r="T235" s="56"/>
      <c r="U235" s="56"/>
    </row>
    <row r="236" customFormat="false" ht="20.1" hidden="false" customHeight="true" outlineLevel="0" collapsed="false"/>
  </sheetData>
  <mergeCells count="271">
    <mergeCell ref="A1:N2"/>
    <mergeCell ref="B4:H4"/>
    <mergeCell ref="J4:L4"/>
    <mergeCell ref="B5:C5"/>
    <mergeCell ref="B6:C6"/>
    <mergeCell ref="K6:K9"/>
    <mergeCell ref="B7:C7"/>
    <mergeCell ref="B8:C8"/>
    <mergeCell ref="B9:C9"/>
    <mergeCell ref="B10:C10"/>
    <mergeCell ref="K10:K13"/>
    <mergeCell ref="B11:C11"/>
    <mergeCell ref="B12:C12"/>
    <mergeCell ref="B13:C13"/>
    <mergeCell ref="B14:C14"/>
    <mergeCell ref="K14:K17"/>
    <mergeCell ref="B15:C15"/>
    <mergeCell ref="B16:C16"/>
    <mergeCell ref="B17:C17"/>
    <mergeCell ref="J18:K18"/>
    <mergeCell ref="B19:G19"/>
    <mergeCell ref="B20:C20"/>
    <mergeCell ref="B21:C21"/>
    <mergeCell ref="B22:C22"/>
    <mergeCell ref="C25:T25"/>
    <mergeCell ref="D27:D28"/>
    <mergeCell ref="E27:E28"/>
    <mergeCell ref="F27:F28"/>
    <mergeCell ref="G27:J27"/>
    <mergeCell ref="L27:S27"/>
    <mergeCell ref="I28:J28"/>
    <mergeCell ref="N28:S28"/>
    <mergeCell ref="D29:D30"/>
    <mergeCell ref="E29:E30"/>
    <mergeCell ref="F29:F30"/>
    <mergeCell ref="G29:G30"/>
    <mergeCell ref="H29:H30"/>
    <mergeCell ref="I29:J29"/>
    <mergeCell ref="K29:K30"/>
    <mergeCell ref="L29:L30"/>
    <mergeCell ref="M29:M30"/>
    <mergeCell ref="N29:S30"/>
    <mergeCell ref="I30:J30"/>
    <mergeCell ref="D31:D33"/>
    <mergeCell ref="E31:E33"/>
    <mergeCell ref="F31:F33"/>
    <mergeCell ref="G31:G33"/>
    <mergeCell ref="H31:H33"/>
    <mergeCell ref="I31:J31"/>
    <mergeCell ref="K31:K33"/>
    <mergeCell ref="L31:L33"/>
    <mergeCell ref="M31:M33"/>
    <mergeCell ref="N31:S33"/>
    <mergeCell ref="I32:J32"/>
    <mergeCell ref="I33:J33"/>
    <mergeCell ref="D34:D63"/>
    <mergeCell ref="E34:E63"/>
    <mergeCell ref="F34:F63"/>
    <mergeCell ref="G34:G63"/>
    <mergeCell ref="H34:H63"/>
    <mergeCell ref="I34:J34"/>
    <mergeCell ref="K34:K63"/>
    <mergeCell ref="L34:L63"/>
    <mergeCell ref="M34:M63"/>
    <mergeCell ref="N34:S34"/>
    <mergeCell ref="I35:J35"/>
    <mergeCell ref="N35:S35"/>
    <mergeCell ref="I36:J36"/>
    <mergeCell ref="N36:S36"/>
    <mergeCell ref="I37:J37"/>
    <mergeCell ref="N37:S37"/>
    <mergeCell ref="I38:J38"/>
    <mergeCell ref="N38:S38"/>
    <mergeCell ref="I39:J39"/>
    <mergeCell ref="N39:S39"/>
    <mergeCell ref="I40:J40"/>
    <mergeCell ref="N40:S40"/>
    <mergeCell ref="I41:J41"/>
    <mergeCell ref="N41:S41"/>
    <mergeCell ref="I42:J42"/>
    <mergeCell ref="N42:S42"/>
    <mergeCell ref="I43:J43"/>
    <mergeCell ref="N43:S43"/>
    <mergeCell ref="I44:J44"/>
    <mergeCell ref="N44:S44"/>
    <mergeCell ref="I45:J45"/>
    <mergeCell ref="N45:S45"/>
    <mergeCell ref="I46:J46"/>
    <mergeCell ref="N46:S46"/>
    <mergeCell ref="I47:J47"/>
    <mergeCell ref="N47:S47"/>
    <mergeCell ref="I48:J48"/>
    <mergeCell ref="N48:S48"/>
    <mergeCell ref="I49:J49"/>
    <mergeCell ref="N49:S49"/>
    <mergeCell ref="I50:J50"/>
    <mergeCell ref="N50:S50"/>
    <mergeCell ref="I51:J51"/>
    <mergeCell ref="N51:S51"/>
    <mergeCell ref="I52:J52"/>
    <mergeCell ref="N52:S52"/>
    <mergeCell ref="I53:J53"/>
    <mergeCell ref="N53:S53"/>
    <mergeCell ref="I54:J54"/>
    <mergeCell ref="N54:S54"/>
    <mergeCell ref="I55:J55"/>
    <mergeCell ref="N55:S55"/>
    <mergeCell ref="I56:J56"/>
    <mergeCell ref="N56:S56"/>
    <mergeCell ref="I57:J57"/>
    <mergeCell ref="N57:S57"/>
    <mergeCell ref="I58:J58"/>
    <mergeCell ref="N58:S58"/>
    <mergeCell ref="I59:J59"/>
    <mergeCell ref="N59:S59"/>
    <mergeCell ref="I60:J60"/>
    <mergeCell ref="N60:S60"/>
    <mergeCell ref="I61:J61"/>
    <mergeCell ref="N61:S61"/>
    <mergeCell ref="I62:J62"/>
    <mergeCell ref="N62:S62"/>
    <mergeCell ref="I63:J63"/>
    <mergeCell ref="N63:S63"/>
    <mergeCell ref="I64:J64"/>
    <mergeCell ref="N64:S64"/>
    <mergeCell ref="E66:N66"/>
    <mergeCell ref="F72:G72"/>
    <mergeCell ref="F73:G73"/>
    <mergeCell ref="E75:N75"/>
    <mergeCell ref="F81:G81"/>
    <mergeCell ref="E84:N84"/>
    <mergeCell ref="F90:G90"/>
    <mergeCell ref="E93:N93"/>
    <mergeCell ref="F99:G99"/>
    <mergeCell ref="D102:S102"/>
    <mergeCell ref="H103:I103"/>
    <mergeCell ref="H104:I104"/>
    <mergeCell ref="H105:I105"/>
    <mergeCell ref="H106:I106"/>
    <mergeCell ref="H107:I107"/>
    <mergeCell ref="H108:I108"/>
    <mergeCell ref="C113:T113"/>
    <mergeCell ref="D115:D116"/>
    <mergeCell ref="E115:E116"/>
    <mergeCell ref="F115:F116"/>
    <mergeCell ref="G115:J115"/>
    <mergeCell ref="L115:S115"/>
    <mergeCell ref="I116:J116"/>
    <mergeCell ref="N116:S116"/>
    <mergeCell ref="I117:J117"/>
    <mergeCell ref="N117:S117"/>
    <mergeCell ref="D118:D119"/>
    <mergeCell ref="E118:E119"/>
    <mergeCell ref="F118:F119"/>
    <mergeCell ref="G118:G119"/>
    <mergeCell ref="H118:H119"/>
    <mergeCell ref="I118:J118"/>
    <mergeCell ref="K118:K119"/>
    <mergeCell ref="L118:L119"/>
    <mergeCell ref="M118:M119"/>
    <mergeCell ref="N118:S119"/>
    <mergeCell ref="I119:J119"/>
    <mergeCell ref="D120:D124"/>
    <mergeCell ref="E120:E124"/>
    <mergeCell ref="F120:F124"/>
    <mergeCell ref="G120:G124"/>
    <mergeCell ref="H120:H124"/>
    <mergeCell ref="I120:J120"/>
    <mergeCell ref="K120:K124"/>
    <mergeCell ref="L120:L124"/>
    <mergeCell ref="M120:M124"/>
    <mergeCell ref="N120:S120"/>
    <mergeCell ref="I121:J121"/>
    <mergeCell ref="N121:S121"/>
    <mergeCell ref="I122:J122"/>
    <mergeCell ref="N122:S122"/>
    <mergeCell ref="I123:J123"/>
    <mergeCell ref="N123:S123"/>
    <mergeCell ref="I124:J124"/>
    <mergeCell ref="N124:S124"/>
    <mergeCell ref="I125:J125"/>
    <mergeCell ref="N125:S125"/>
    <mergeCell ref="E127:N127"/>
    <mergeCell ref="F133:G133"/>
    <mergeCell ref="E136:N136"/>
    <mergeCell ref="F142:G142"/>
    <mergeCell ref="E145:N145"/>
    <mergeCell ref="F151:G151"/>
    <mergeCell ref="E154:N154"/>
    <mergeCell ref="F160:G160"/>
    <mergeCell ref="D163:S163"/>
    <mergeCell ref="H164:I164"/>
    <mergeCell ref="H165:I165"/>
    <mergeCell ref="H166:I166"/>
    <mergeCell ref="Y166:Z166"/>
    <mergeCell ref="H167:I167"/>
    <mergeCell ref="H168:I168"/>
    <mergeCell ref="H169:I169"/>
    <mergeCell ref="C174:T174"/>
    <mergeCell ref="D176:D177"/>
    <mergeCell ref="E176:E177"/>
    <mergeCell ref="F176:F177"/>
    <mergeCell ref="G176:J176"/>
    <mergeCell ref="L176:S176"/>
    <mergeCell ref="I177:J177"/>
    <mergeCell ref="N177:S177"/>
    <mergeCell ref="D178:D180"/>
    <mergeCell ref="E178:E180"/>
    <mergeCell ref="F178:F180"/>
    <mergeCell ref="G178:G180"/>
    <mergeCell ref="H178:H180"/>
    <mergeCell ref="I178:J178"/>
    <mergeCell ref="K178:K180"/>
    <mergeCell ref="L178:L180"/>
    <mergeCell ref="M178:M180"/>
    <mergeCell ref="N178:S180"/>
    <mergeCell ref="I179:J179"/>
    <mergeCell ref="I180:J180"/>
    <mergeCell ref="D181:D182"/>
    <mergeCell ref="E181:E182"/>
    <mergeCell ref="F181:F182"/>
    <mergeCell ref="G181:G182"/>
    <mergeCell ref="H181:H182"/>
    <mergeCell ref="I181:J181"/>
    <mergeCell ref="K181:K182"/>
    <mergeCell ref="L181:L182"/>
    <mergeCell ref="M181:M182"/>
    <mergeCell ref="N181:S182"/>
    <mergeCell ref="I182:J182"/>
    <mergeCell ref="D183:D186"/>
    <mergeCell ref="E183:E186"/>
    <mergeCell ref="F183:F186"/>
    <mergeCell ref="G183:G186"/>
    <mergeCell ref="H183:H186"/>
    <mergeCell ref="I183:J183"/>
    <mergeCell ref="K183:K186"/>
    <mergeCell ref="L183:L186"/>
    <mergeCell ref="M183:M186"/>
    <mergeCell ref="N183:S186"/>
    <mergeCell ref="I184:J184"/>
    <mergeCell ref="I185:J185"/>
    <mergeCell ref="I186:J186"/>
    <mergeCell ref="D187:D190"/>
    <mergeCell ref="E187:E190"/>
    <mergeCell ref="F187:F190"/>
    <mergeCell ref="G187:G190"/>
    <mergeCell ref="H187:H190"/>
    <mergeCell ref="I187:J187"/>
    <mergeCell ref="K187:K190"/>
    <mergeCell ref="L187:L190"/>
    <mergeCell ref="M187:M190"/>
    <mergeCell ref="N187:S190"/>
    <mergeCell ref="I188:J188"/>
    <mergeCell ref="I189:J189"/>
    <mergeCell ref="I190:J190"/>
    <mergeCell ref="E192:N192"/>
    <mergeCell ref="F198:G198"/>
    <mergeCell ref="E201:N201"/>
    <mergeCell ref="F207:G207"/>
    <mergeCell ref="E210:N210"/>
    <mergeCell ref="F216:G216"/>
    <mergeCell ref="E219:N219"/>
    <mergeCell ref="F225:G225"/>
    <mergeCell ref="D228:S228"/>
    <mergeCell ref="H229:I229"/>
    <mergeCell ref="H230:I230"/>
    <mergeCell ref="H231:I231"/>
    <mergeCell ref="Y231:Z231"/>
    <mergeCell ref="H232:I232"/>
    <mergeCell ref="H233:I233"/>
    <mergeCell ref="H234:I234"/>
  </mergeCells>
  <conditionalFormatting sqref="B17:C17 D18:H18 D21:G22 H17 B6:H16">
    <cfRule type="expression" priority="2" aboveAverage="0" equalAverage="0" bottom="0" percent="0" rank="0" text="" dxfId="134">
      <formula>$H6="Nein"</formula>
    </cfRule>
    <cfRule type="expression" priority="3" aboveAverage="0" equalAverage="0" bottom="0" percent="0" rank="0" text="" dxfId="135">
      <formula>$H6="Ja"</formula>
    </cfRule>
  </conditionalFormatting>
  <conditionalFormatting sqref="D234:E234">
    <cfRule type="expression" priority="4" aboveAverage="0" equalAverage="0" bottom="0" percent="0" rank="0" text="" dxfId="136">
      <formula>$I234="Nein"</formula>
    </cfRule>
    <cfRule type="expression" priority="5" aboveAverage="0" equalAverage="0" bottom="0" percent="0" rank="0" text="" dxfId="137">
      <formula>$I234="Ja"</formula>
    </cfRule>
  </conditionalFormatting>
  <conditionalFormatting sqref="D108:E108">
    <cfRule type="expression" priority="6" aboveAverage="0" equalAverage="0" bottom="0" percent="0" rank="0" text="" dxfId="138">
      <formula>$I108="Nein"</formula>
    </cfRule>
    <cfRule type="expression" priority="7" aboveAverage="0" equalAverage="0" bottom="0" percent="0" rank="0" text="" dxfId="139">
      <formula>$I108="Ja"</formula>
    </cfRule>
  </conditionalFormatting>
  <conditionalFormatting sqref="D169:E169">
    <cfRule type="expression" priority="8" aboveAverage="0" equalAverage="0" bottom="0" percent="0" rank="0" text="" dxfId="140">
      <formula>$I169="Nein"</formula>
    </cfRule>
    <cfRule type="expression" priority="9" aboveAverage="0" equalAverage="0" bottom="0" percent="0" rank="0" text="" dxfId="141">
      <formula>$I169="Ja"</formula>
    </cfRule>
  </conditionalFormatting>
  <conditionalFormatting sqref="D104:E104">
    <cfRule type="expression" priority="10" aboveAverage="0" equalAverage="0" bottom="0" percent="0" rank="0" text="" dxfId="142">
      <formula>$H104="Nein"</formula>
    </cfRule>
    <cfRule type="expression" priority="11" aboveAverage="0" equalAverage="0" bottom="0" percent="0" rank="0" text="" dxfId="143">
      <formula>$H104="Ja"</formula>
    </cfRule>
  </conditionalFormatting>
  <conditionalFormatting sqref="D105:E105">
    <cfRule type="expression" priority="12" aboveAverage="0" equalAverage="0" bottom="0" percent="0" rank="0" text="" dxfId="144">
      <formula>$H105="Nein"</formula>
    </cfRule>
    <cfRule type="expression" priority="13" aboveAverage="0" equalAverage="0" bottom="0" percent="0" rank="0" text="" dxfId="145">
      <formula>$H105="Ja"</formula>
    </cfRule>
  </conditionalFormatting>
  <conditionalFormatting sqref="D107:E107">
    <cfRule type="expression" priority="14" aboveAverage="0" equalAverage="0" bottom="0" percent="0" rank="0" text="" dxfId="146">
      <formula>$H107="Nein"</formula>
    </cfRule>
    <cfRule type="expression" priority="15" aboveAverage="0" equalAverage="0" bottom="0" percent="0" rank="0" text="" dxfId="147">
      <formula>$H107="Ja"</formula>
    </cfRule>
  </conditionalFormatting>
  <conditionalFormatting sqref="D106:E106">
    <cfRule type="expression" priority="16" aboveAverage="0" equalAverage="0" bottom="0" percent="0" rank="0" text="" dxfId="148">
      <formula>$H106="Nein"</formula>
    </cfRule>
    <cfRule type="expression" priority="17" aboveAverage="0" equalAverage="0" bottom="0" percent="0" rank="0" text="" dxfId="149">
      <formula>$H106="Ja"</formula>
    </cfRule>
  </conditionalFormatting>
  <conditionalFormatting sqref="D230:E230">
    <cfRule type="expression" priority="18" aboveAverage="0" equalAverage="0" bottom="0" percent="0" rank="0" text="" dxfId="150">
      <formula>$H230="Nein"</formula>
    </cfRule>
    <cfRule type="expression" priority="19" aboveAverage="0" equalAverage="0" bottom="0" percent="0" rank="0" text="" dxfId="151">
      <formula>$H230="Ja"</formula>
    </cfRule>
  </conditionalFormatting>
  <conditionalFormatting sqref="D231:E231">
    <cfRule type="expression" priority="20" aboveAverage="0" equalAverage="0" bottom="0" percent="0" rank="0" text="" dxfId="152">
      <formula>$H231="Nein"</formula>
    </cfRule>
    <cfRule type="expression" priority="21" aboveAverage="0" equalAverage="0" bottom="0" percent="0" rank="0" text="" dxfId="153">
      <formula>$H231="Ja"</formula>
    </cfRule>
  </conditionalFormatting>
  <conditionalFormatting sqref="D233:E233">
    <cfRule type="expression" priority="22" aboveAverage="0" equalAverage="0" bottom="0" percent="0" rank="0" text="" dxfId="154">
      <formula>$H233="Nein"</formula>
    </cfRule>
    <cfRule type="expression" priority="23" aboveAverage="0" equalAverage="0" bottom="0" percent="0" rank="0" text="" dxfId="155">
      <formula>$H233="Ja"</formula>
    </cfRule>
  </conditionalFormatting>
  <conditionalFormatting sqref="D232:E232">
    <cfRule type="expression" priority="24" aboveAverage="0" equalAverage="0" bottom="0" percent="0" rank="0" text="" dxfId="156">
      <formula>$H232="Nein"</formula>
    </cfRule>
    <cfRule type="expression" priority="25" aboveAverage="0" equalAverage="0" bottom="0" percent="0" rank="0" text="" dxfId="157">
      <formula>$H232="Ja"</formula>
    </cfRule>
  </conditionalFormatting>
  <conditionalFormatting sqref="D165:E165">
    <cfRule type="expression" priority="26" aboveAverage="0" equalAverage="0" bottom="0" percent="0" rank="0" text="" dxfId="158">
      <formula>$H165="Nein"</formula>
    </cfRule>
    <cfRule type="expression" priority="27" aboveAverage="0" equalAverage="0" bottom="0" percent="0" rank="0" text="" dxfId="159">
      <formula>$H165="Ja"</formula>
    </cfRule>
  </conditionalFormatting>
  <conditionalFormatting sqref="D166:E166">
    <cfRule type="expression" priority="28" aboveAverage="0" equalAverage="0" bottom="0" percent="0" rank="0" text="" dxfId="160">
      <formula>$H166="Nein"</formula>
    </cfRule>
    <cfRule type="expression" priority="29" aboveAverage="0" equalAverage="0" bottom="0" percent="0" rank="0" text="" dxfId="161">
      <formula>$H166="Ja"</formula>
    </cfRule>
  </conditionalFormatting>
  <conditionalFormatting sqref="D168:E168">
    <cfRule type="expression" priority="30" aboveAverage="0" equalAverage="0" bottom="0" percent="0" rank="0" text="" dxfId="162">
      <formula>$H168="Nein"</formula>
    </cfRule>
    <cfRule type="expression" priority="31" aboveAverage="0" equalAverage="0" bottom="0" percent="0" rank="0" text="" dxfId="163">
      <formula>$H168="Ja"</formula>
    </cfRule>
  </conditionalFormatting>
  <conditionalFormatting sqref="D167:E167">
    <cfRule type="expression" priority="32" aboveAverage="0" equalAverage="0" bottom="0" percent="0" rank="0" text="" dxfId="164">
      <formula>$H167="Nein"</formula>
    </cfRule>
    <cfRule type="expression" priority="33" aboveAverage="0" equalAverage="0" bottom="0" percent="0" rank="0" text="" dxfId="165">
      <formula>$H167="Ja"</formula>
    </cfRule>
  </conditionalFormatting>
  <conditionalFormatting sqref="D17:G17">
    <cfRule type="expression" priority="34" aboveAverage="0" equalAverage="0" bottom="0" percent="0" rank="0" text="" dxfId="166">
      <formula>$H17="Nein"</formula>
    </cfRule>
    <cfRule type="expression" priority="35" aboveAverage="0" equalAverage="0" bottom="0" percent="0" rank="0" text="" dxfId="167">
      <formula>$H17="Ja"</formula>
    </cfRule>
  </conditionalFormatting>
  <conditionalFormatting sqref="E68:F71">
    <cfRule type="expression" priority="36" aboveAverage="0" equalAverage="0" bottom="0" percent="0" rank="0" text="" dxfId="168">
      <formula>$H68="Nein"</formula>
    </cfRule>
    <cfRule type="expression" priority="37" aboveAverage="0" equalAverage="0" bottom="0" percent="0" rank="0" text="" dxfId="169">
      <formula>$H68="Ja"</formula>
    </cfRule>
  </conditionalFormatting>
  <conditionalFormatting sqref="E77:F80">
    <cfRule type="expression" priority="38" aboveAverage="0" equalAverage="0" bottom="0" percent="0" rank="0" text="" dxfId="170">
      <formula>$H77="Nein"</formula>
    </cfRule>
    <cfRule type="expression" priority="39" aboveAverage="0" equalAverage="0" bottom="0" percent="0" rank="0" text="" dxfId="171">
      <formula>$H77="Ja"</formula>
    </cfRule>
  </conditionalFormatting>
  <conditionalFormatting sqref="E86:F89">
    <cfRule type="expression" priority="40" aboveAverage="0" equalAverage="0" bottom="0" percent="0" rank="0" text="" dxfId="172">
      <formula>$H86="Nein"</formula>
    </cfRule>
    <cfRule type="expression" priority="41" aboveAverage="0" equalAverage="0" bottom="0" percent="0" rank="0" text="" dxfId="173">
      <formula>$H86="Ja"</formula>
    </cfRule>
  </conditionalFormatting>
  <conditionalFormatting sqref="E95:F98">
    <cfRule type="expression" priority="42" aboveAverage="0" equalAverage="0" bottom="0" percent="0" rank="0" text="" dxfId="174">
      <formula>$H95="Nein"</formula>
    </cfRule>
    <cfRule type="expression" priority="43" aboveAverage="0" equalAverage="0" bottom="0" percent="0" rank="0" text="" dxfId="175">
      <formula>$H95="Ja"</formula>
    </cfRule>
  </conditionalFormatting>
  <conditionalFormatting sqref="E129:F132">
    <cfRule type="expression" priority="44" aboveAverage="0" equalAverage="0" bottom="0" percent="0" rank="0" text="" dxfId="176">
      <formula>$H129="Nein"</formula>
    </cfRule>
    <cfRule type="expression" priority="45" aboveAverage="0" equalAverage="0" bottom="0" percent="0" rank="0" text="" dxfId="177">
      <formula>$H129="Ja"</formula>
    </cfRule>
  </conditionalFormatting>
  <conditionalFormatting sqref="E138:F141">
    <cfRule type="expression" priority="46" aboveAverage="0" equalAverage="0" bottom="0" percent="0" rank="0" text="" dxfId="178">
      <formula>$H138="Nein"</formula>
    </cfRule>
    <cfRule type="expression" priority="47" aboveAverage="0" equalAverage="0" bottom="0" percent="0" rank="0" text="" dxfId="179">
      <formula>$H138="Ja"</formula>
    </cfRule>
  </conditionalFormatting>
  <conditionalFormatting sqref="E147:F150">
    <cfRule type="expression" priority="48" aboveAverage="0" equalAverage="0" bottom="0" percent="0" rank="0" text="" dxfId="180">
      <formula>$H147="Nein"</formula>
    </cfRule>
    <cfRule type="expression" priority="49" aboveAverage="0" equalAverage="0" bottom="0" percent="0" rank="0" text="" dxfId="181">
      <formula>$H147="Ja"</formula>
    </cfRule>
  </conditionalFormatting>
  <conditionalFormatting sqref="E156:F159">
    <cfRule type="expression" priority="50" aboveAverage="0" equalAverage="0" bottom="0" percent="0" rank="0" text="" dxfId="182">
      <formula>$H156="Nein"</formula>
    </cfRule>
    <cfRule type="expression" priority="51" aboveAverage="0" equalAverage="0" bottom="0" percent="0" rank="0" text="" dxfId="183">
      <formula>$H156="Ja"</formula>
    </cfRule>
  </conditionalFormatting>
  <conditionalFormatting sqref="E194:F196">
    <cfRule type="expression" priority="52" aboveAverage="0" equalAverage="0" bottom="0" percent="0" rank="0" text="" dxfId="184">
      <formula>$H194="Nein"</formula>
    </cfRule>
    <cfRule type="expression" priority="53" aboveAverage="0" equalAverage="0" bottom="0" percent="0" rank="0" text="" dxfId="185">
      <formula>$H194="Ja"</formula>
    </cfRule>
  </conditionalFormatting>
  <conditionalFormatting sqref="E197:F197">
    <cfRule type="expression" priority="54" aboveAverage="0" equalAverage="0" bottom="0" percent="0" rank="0" text="" dxfId="186">
      <formula>$H197="Nein"</formula>
    </cfRule>
    <cfRule type="expression" priority="55" aboveAverage="0" equalAverage="0" bottom="0" percent="0" rank="0" text="" dxfId="187">
      <formula>$H197="Ja"</formula>
    </cfRule>
  </conditionalFormatting>
  <conditionalFormatting sqref="E203:F205">
    <cfRule type="expression" priority="56" aboveAverage="0" equalAverage="0" bottom="0" percent="0" rank="0" text="" dxfId="188">
      <formula>$H203="Nein"</formula>
    </cfRule>
    <cfRule type="expression" priority="57" aboveAverage="0" equalAverage="0" bottom="0" percent="0" rank="0" text="" dxfId="189">
      <formula>$H203="Ja"</formula>
    </cfRule>
  </conditionalFormatting>
  <conditionalFormatting sqref="E206:F206">
    <cfRule type="expression" priority="58" aboveAverage="0" equalAverage="0" bottom="0" percent="0" rank="0" text="" dxfId="190">
      <formula>$H206="Nein"</formula>
    </cfRule>
    <cfRule type="expression" priority="59" aboveAverage="0" equalAverage="0" bottom="0" percent="0" rank="0" text="" dxfId="191">
      <formula>$H206="Ja"</formula>
    </cfRule>
  </conditionalFormatting>
  <conditionalFormatting sqref="E212:F214">
    <cfRule type="expression" priority="60" aboveAverage="0" equalAverage="0" bottom="0" percent="0" rank="0" text="" dxfId="192">
      <formula>$H212="Nein"</formula>
    </cfRule>
    <cfRule type="expression" priority="61" aboveAverage="0" equalAverage="0" bottom="0" percent="0" rank="0" text="" dxfId="193">
      <formula>$H212="Ja"</formula>
    </cfRule>
  </conditionalFormatting>
  <conditionalFormatting sqref="E215:F215">
    <cfRule type="expression" priority="62" aboveAverage="0" equalAverage="0" bottom="0" percent="0" rank="0" text="" dxfId="194">
      <formula>$H215="Nein"</formula>
    </cfRule>
    <cfRule type="expression" priority="63" aboveAverage="0" equalAverage="0" bottom="0" percent="0" rank="0" text="" dxfId="195">
      <formula>$H215="Ja"</formula>
    </cfRule>
  </conditionalFormatting>
  <conditionalFormatting sqref="E221:F223">
    <cfRule type="expression" priority="64" aboveAverage="0" equalAverage="0" bottom="0" percent="0" rank="0" text="" dxfId="196">
      <formula>$H221="Nein"</formula>
    </cfRule>
    <cfRule type="expression" priority="65" aboveAverage="0" equalAverage="0" bottom="0" percent="0" rank="0" text="" dxfId="197">
      <formula>$H221="Ja"</formula>
    </cfRule>
  </conditionalFormatting>
  <conditionalFormatting sqref="E224:F224">
    <cfRule type="expression" priority="66" aboveAverage="0" equalAverage="0" bottom="0" percent="0" rank="0" text="" dxfId="198">
      <formula>$H224="Nein"</formula>
    </cfRule>
    <cfRule type="expression" priority="67" aboveAverage="0" equalAverage="0" bottom="0" percent="0" rank="0" text="" dxfId="199">
      <formula>$H224="Ja"</formula>
    </cfRule>
  </conditionalFormatting>
  <dataValidations count="1">
    <dataValidation allowBlank="true" operator="between" showDropDown="false" showErrorMessage="true" showInputMessage="true" sqref="H6:H18"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280"/>
  <sheetViews>
    <sheetView showFormulas="false" showGridLines="false" showRowColHeaders="true" showZeros="true" rightToLeft="false" tabSelected="false" showOutlineSymbols="true" defaultGridColor="true" view="normal" topLeftCell="A138" colorId="64" zoomScale="100" zoomScaleNormal="100" zoomScalePageLayoutView="100" workbookViewId="0">
      <selection pane="topLeft" activeCell="I130" activeCellId="0" sqref="I130"/>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6"/>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2" t="s">
        <v>315</v>
      </c>
      <c r="B1" s="2"/>
      <c r="C1" s="2"/>
      <c r="D1" s="2"/>
      <c r="E1" s="2"/>
      <c r="F1" s="2"/>
      <c r="G1" s="2"/>
      <c r="H1" s="2"/>
      <c r="I1" s="2"/>
      <c r="J1" s="2"/>
      <c r="K1" s="2"/>
      <c r="L1" s="2"/>
      <c r="M1" s="2"/>
      <c r="N1" s="2"/>
    </row>
    <row r="2" customFormat="false" ht="15" hidden="false" customHeight="false" outlineLevel="0" collapsed="false">
      <c r="A2" s="2"/>
      <c r="B2" s="2"/>
      <c r="C2" s="2"/>
      <c r="D2" s="2"/>
      <c r="E2" s="2"/>
      <c r="F2" s="2"/>
      <c r="G2" s="2"/>
      <c r="H2" s="2"/>
      <c r="I2" s="2"/>
      <c r="J2" s="2"/>
      <c r="K2" s="2"/>
      <c r="L2" s="2"/>
      <c r="M2" s="2"/>
      <c r="N2" s="2"/>
    </row>
    <row r="3" customFormat="false" ht="20.1" hidden="false" customHeight="true" outlineLevel="0" collapsed="false"/>
    <row r="4" customFormat="false" ht="15.75" hidden="false" customHeight="false" outlineLevel="0" collapsed="false">
      <c r="B4" s="3" t="s">
        <v>316</v>
      </c>
      <c r="C4" s="3"/>
      <c r="D4" s="3"/>
      <c r="E4" s="3"/>
      <c r="F4" s="3"/>
      <c r="G4" s="3"/>
      <c r="H4" s="3"/>
      <c r="J4" s="3" t="s">
        <v>2</v>
      </c>
      <c r="K4" s="3"/>
      <c r="L4" s="3"/>
      <c r="O4" s="4"/>
      <c r="P4" s="4"/>
      <c r="Q4" s="4"/>
      <c r="R4" s="5"/>
      <c r="S4" s="4"/>
      <c r="T4" s="4"/>
      <c r="U4" s="4"/>
      <c r="V4" s="4"/>
    </row>
    <row r="5" customFormat="false" ht="50.1" hidden="false" customHeight="true" outlineLevel="0" collapsed="false">
      <c r="B5" s="6" t="s">
        <v>317</v>
      </c>
      <c r="C5" s="6"/>
      <c r="D5" s="7" t="s">
        <v>4</v>
      </c>
      <c r="E5" s="8" t="s">
        <v>5</v>
      </c>
      <c r="F5" s="8" t="s">
        <v>6</v>
      </c>
      <c r="G5" s="9" t="s">
        <v>7</v>
      </c>
      <c r="H5" s="8" t="s">
        <v>318</v>
      </c>
      <c r="J5" s="10" t="s">
        <v>4</v>
      </c>
      <c r="K5" s="11" t="s">
        <v>9</v>
      </c>
      <c r="L5" s="12" t="s">
        <v>10</v>
      </c>
      <c r="O5" s="5"/>
      <c r="Q5" s="4"/>
      <c r="R5" s="4"/>
      <c r="S5" s="4"/>
      <c r="T5" s="5"/>
      <c r="U5" s="5"/>
    </row>
    <row r="6" customFormat="false" ht="20.1" hidden="false" customHeight="true" outlineLevel="0" collapsed="false">
      <c r="B6" s="13" t="n">
        <v>1</v>
      </c>
      <c r="C6" s="13"/>
      <c r="D6" s="16" t="s">
        <v>37</v>
      </c>
      <c r="E6" s="16" t="s">
        <v>38</v>
      </c>
      <c r="F6" s="16" t="s">
        <v>38</v>
      </c>
      <c r="G6" s="16" t="s">
        <v>38</v>
      </c>
      <c r="H6" s="17" t="s">
        <v>14</v>
      </c>
      <c r="J6" s="18" t="str">
        <f aca="false">D6</f>
        <v>Marc Lambrecht</v>
      </c>
      <c r="K6" s="19" t="n">
        <v>1</v>
      </c>
      <c r="L6" s="20" t="n">
        <v>1</v>
      </c>
      <c r="O6" s="21"/>
      <c r="T6" s="21"/>
      <c r="U6" s="21"/>
    </row>
    <row r="7" customFormat="false" ht="20.1" hidden="false" customHeight="true" outlineLevel="0" collapsed="false">
      <c r="B7" s="22" t="n">
        <v>2</v>
      </c>
      <c r="C7" s="22"/>
      <c r="D7" s="23" t="s">
        <v>17</v>
      </c>
      <c r="E7" s="23" t="s">
        <v>18</v>
      </c>
      <c r="F7" s="23" t="s">
        <v>19</v>
      </c>
      <c r="G7" s="23" t="s">
        <v>19</v>
      </c>
      <c r="H7" s="24" t="s">
        <v>14</v>
      </c>
      <c r="J7" s="25" t="str">
        <f aca="false">D7</f>
        <v>Judith Fulterer</v>
      </c>
      <c r="K7" s="19"/>
      <c r="L7" s="26" t="n">
        <v>2</v>
      </c>
      <c r="O7" s="21"/>
      <c r="T7" s="21"/>
      <c r="U7" s="21"/>
    </row>
    <row r="8" customFormat="false" ht="20.1" hidden="false" customHeight="true" outlineLevel="0" collapsed="false">
      <c r="B8" s="22" t="n">
        <v>3</v>
      </c>
      <c r="C8" s="22"/>
      <c r="D8" s="29" t="s">
        <v>15</v>
      </c>
      <c r="E8" s="23" t="s">
        <v>16</v>
      </c>
      <c r="F8" s="30" t="s">
        <v>16</v>
      </c>
      <c r="G8" s="23" t="s">
        <v>16</v>
      </c>
      <c r="H8" s="24" t="s">
        <v>14</v>
      </c>
      <c r="J8" s="25" t="str">
        <f aca="false">D8</f>
        <v>Devid Fulterer</v>
      </c>
      <c r="K8" s="19"/>
      <c r="L8" s="26" t="n">
        <v>3</v>
      </c>
      <c r="O8" s="21"/>
      <c r="T8" s="21"/>
      <c r="U8" s="21"/>
    </row>
    <row r="9" customFormat="false" ht="20.1" hidden="false" customHeight="true" outlineLevel="0" collapsed="false">
      <c r="B9" s="22" t="n">
        <v>4</v>
      </c>
      <c r="C9" s="22"/>
      <c r="D9" s="29" t="s">
        <v>20</v>
      </c>
      <c r="E9" s="29" t="s">
        <v>21</v>
      </c>
      <c r="F9" s="32" t="s">
        <v>21</v>
      </c>
      <c r="G9" s="23" t="s">
        <v>21</v>
      </c>
      <c r="H9" s="24" t="s">
        <v>14</v>
      </c>
      <c r="J9" s="27" t="str">
        <f aca="false">D9</f>
        <v>Andreas Micke</v>
      </c>
      <c r="K9" s="19"/>
      <c r="L9" s="28" t="n">
        <v>4</v>
      </c>
      <c r="O9" s="21"/>
      <c r="T9" s="21"/>
      <c r="U9" s="21"/>
    </row>
    <row r="10" customFormat="false" ht="20.1" hidden="false" customHeight="true" outlineLevel="0" collapsed="false">
      <c r="B10" s="22" t="n">
        <v>5</v>
      </c>
      <c r="C10" s="22"/>
      <c r="D10" s="23" t="s">
        <v>11</v>
      </c>
      <c r="E10" s="23" t="s">
        <v>12</v>
      </c>
      <c r="F10" s="23" t="s">
        <v>12</v>
      </c>
      <c r="G10" s="23" t="s">
        <v>12</v>
      </c>
      <c r="H10" s="24" t="s">
        <v>14</v>
      </c>
      <c r="J10" s="18" t="str">
        <f aca="false">D10</f>
        <v>Bea Kittner</v>
      </c>
      <c r="K10" s="31" t="n">
        <v>2</v>
      </c>
      <c r="L10" s="20" t="n">
        <v>1</v>
      </c>
      <c r="O10" s="21"/>
      <c r="T10" s="21"/>
      <c r="U10" s="21"/>
    </row>
    <row r="11" customFormat="false" ht="20.1" hidden="false" customHeight="true" outlineLevel="0" collapsed="false">
      <c r="B11" s="22" t="n">
        <v>6</v>
      </c>
      <c r="C11" s="22"/>
      <c r="D11" s="29" t="s">
        <v>26</v>
      </c>
      <c r="E11" s="29" t="s">
        <v>27</v>
      </c>
      <c r="F11" s="32" t="s">
        <v>27</v>
      </c>
      <c r="G11" s="23" t="s">
        <v>27</v>
      </c>
      <c r="H11" s="24" t="s">
        <v>14</v>
      </c>
      <c r="J11" s="25" t="str">
        <f aca="false">D11</f>
        <v>Markus Hagenauer</v>
      </c>
      <c r="K11" s="31"/>
      <c r="L11" s="26" t="n">
        <v>2</v>
      </c>
      <c r="O11" s="21"/>
      <c r="T11" s="21"/>
      <c r="U11" s="21"/>
    </row>
    <row r="12" customFormat="false" ht="20.1" hidden="false" customHeight="true" outlineLevel="0" collapsed="false">
      <c r="B12" s="22" t="n">
        <v>7</v>
      </c>
      <c r="C12" s="22"/>
      <c r="D12" s="23" t="s">
        <v>24</v>
      </c>
      <c r="E12" s="23" t="s">
        <v>25</v>
      </c>
      <c r="F12" s="23" t="s">
        <v>25</v>
      </c>
      <c r="G12" s="23" t="s">
        <v>25</v>
      </c>
      <c r="H12" s="24" t="s">
        <v>14</v>
      </c>
      <c r="J12" s="25" t="str">
        <f aca="false">D12</f>
        <v>Jonas Röhrig</v>
      </c>
      <c r="K12" s="31"/>
      <c r="L12" s="26" t="n">
        <v>3</v>
      </c>
      <c r="O12" s="21"/>
      <c r="T12" s="21"/>
      <c r="U12" s="21"/>
    </row>
    <row r="13" customFormat="false" ht="20.1" hidden="false" customHeight="true" outlineLevel="0" collapsed="false">
      <c r="B13" s="22" t="n">
        <v>8</v>
      </c>
      <c r="C13" s="22"/>
      <c r="D13" s="33" t="s">
        <v>159</v>
      </c>
      <c r="E13" s="29" t="s">
        <v>160</v>
      </c>
      <c r="F13" s="32" t="s">
        <v>160</v>
      </c>
      <c r="G13" s="34" t="s">
        <v>160</v>
      </c>
      <c r="H13" s="24" t="s">
        <v>14</v>
      </c>
      <c r="J13" s="27" t="str">
        <f aca="false">D13</f>
        <v>Jan Unland</v>
      </c>
      <c r="K13" s="31"/>
      <c r="L13" s="28" t="n">
        <v>4</v>
      </c>
      <c r="O13" s="21"/>
      <c r="T13" s="21"/>
      <c r="U13" s="21"/>
    </row>
    <row r="14" customFormat="false" ht="20.1" hidden="false" customHeight="true" outlineLevel="0" collapsed="false">
      <c r="B14" s="22" t="n">
        <v>9</v>
      </c>
      <c r="C14" s="22"/>
      <c r="D14" s="29" t="s">
        <v>33</v>
      </c>
      <c r="E14" s="29" t="s">
        <v>34</v>
      </c>
      <c r="F14" s="32" t="s">
        <v>34</v>
      </c>
      <c r="G14" s="23" t="s">
        <v>34</v>
      </c>
      <c r="H14" s="24" t="s">
        <v>14</v>
      </c>
      <c r="J14" s="18" t="str">
        <f aca="false">D14</f>
        <v>Kai Maibaum</v>
      </c>
      <c r="K14" s="19" t="n">
        <v>3</v>
      </c>
      <c r="L14" s="20" t="n">
        <v>1</v>
      </c>
      <c r="O14" s="21"/>
      <c r="T14" s="21"/>
      <c r="U14" s="21"/>
    </row>
    <row r="15" customFormat="false" ht="20.1" hidden="false" customHeight="true" outlineLevel="0" collapsed="false">
      <c r="B15" s="22" t="n">
        <v>10</v>
      </c>
      <c r="C15" s="22"/>
      <c r="D15" s="29" t="s">
        <v>35</v>
      </c>
      <c r="E15" s="29" t="s">
        <v>36</v>
      </c>
      <c r="F15" s="32" t="s">
        <v>36</v>
      </c>
      <c r="G15" s="23" t="s">
        <v>36</v>
      </c>
      <c r="H15" s="24" t="s">
        <v>14</v>
      </c>
      <c r="J15" s="25" t="str">
        <f aca="false">D15</f>
        <v>Daniel Zimmermann</v>
      </c>
      <c r="K15" s="19"/>
      <c r="L15" s="26" t="n">
        <v>2</v>
      </c>
      <c r="O15" s="21"/>
      <c r="T15" s="21"/>
      <c r="U15" s="21"/>
    </row>
    <row r="16" customFormat="false" ht="20.1" hidden="false" customHeight="true" outlineLevel="0" collapsed="false">
      <c r="B16" s="22" t="n">
        <v>11</v>
      </c>
      <c r="C16" s="22"/>
      <c r="D16" s="23" t="s">
        <v>28</v>
      </c>
      <c r="E16" s="23" t="s">
        <v>29</v>
      </c>
      <c r="F16" s="23" t="s">
        <v>29</v>
      </c>
      <c r="G16" s="23" t="s">
        <v>29</v>
      </c>
      <c r="H16" s="24" t="s">
        <v>32</v>
      </c>
      <c r="J16" s="43" t="str">
        <f aca="false">D16</f>
        <v>Charlotte Schöpges</v>
      </c>
      <c r="K16" s="19"/>
      <c r="L16" s="44" t="n">
        <v>3</v>
      </c>
      <c r="O16" s="21"/>
      <c r="T16" s="21"/>
      <c r="U16" s="21"/>
    </row>
    <row r="17" customFormat="false" ht="20.1" hidden="false" customHeight="true" outlineLevel="0" collapsed="false">
      <c r="B17" s="22" t="n">
        <v>12</v>
      </c>
      <c r="C17" s="22"/>
      <c r="D17" s="33" t="s">
        <v>235</v>
      </c>
      <c r="E17" s="29" t="s">
        <v>236</v>
      </c>
      <c r="F17" s="32" t="s">
        <v>236</v>
      </c>
      <c r="G17" s="34" t="s">
        <v>13</v>
      </c>
      <c r="H17" s="24" t="s">
        <v>14</v>
      </c>
      <c r="J17" s="308" t="str">
        <f aca="false">D17</f>
        <v>Alexandra Janssen</v>
      </c>
      <c r="K17" s="309" t="n">
        <v>4</v>
      </c>
      <c r="L17" s="310" t="n">
        <v>1</v>
      </c>
      <c r="O17" s="21"/>
      <c r="T17" s="21"/>
      <c r="U17" s="21"/>
    </row>
    <row r="18" customFormat="false" ht="20.1" hidden="false" customHeight="true" outlineLevel="0" collapsed="false">
      <c r="B18" s="37" t="n">
        <v>13</v>
      </c>
      <c r="C18" s="37"/>
      <c r="D18" s="38" t="s">
        <v>30</v>
      </c>
      <c r="E18" s="39" t="s">
        <v>31</v>
      </c>
      <c r="F18" s="40" t="s">
        <v>31</v>
      </c>
      <c r="G18" s="41" t="s">
        <v>13</v>
      </c>
      <c r="H18" s="42" t="s">
        <v>14</v>
      </c>
      <c r="J18" s="87" t="str">
        <f aca="false">D18</f>
        <v>Fabian Spaniol</v>
      </c>
      <c r="K18" s="309"/>
      <c r="L18" s="28" t="n">
        <v>2</v>
      </c>
      <c r="O18" s="21"/>
      <c r="T18" s="21"/>
      <c r="U18" s="21"/>
    </row>
    <row r="19" customFormat="false" ht="20.1" hidden="false" customHeight="true" outlineLevel="0" collapsed="false">
      <c r="D19" s="311"/>
      <c r="E19" s="311"/>
      <c r="F19" s="312"/>
      <c r="G19" s="45"/>
      <c r="H19" s="311"/>
      <c r="J19" s="313"/>
      <c r="K19" s="314" t="s">
        <v>319</v>
      </c>
      <c r="L19" s="315" t="n">
        <f aca="false">ROWS(L6:L18)</f>
        <v>13</v>
      </c>
      <c r="N19" s="4"/>
      <c r="O19" s="4"/>
      <c r="Q19" s="4"/>
      <c r="R19" s="4"/>
      <c r="S19" s="4"/>
      <c r="T19" s="4"/>
    </row>
    <row r="20" customFormat="false" ht="15.75" hidden="false" customHeight="false" outlineLevel="0" collapsed="false">
      <c r="B20" s="3" t="s">
        <v>158</v>
      </c>
      <c r="C20" s="3"/>
      <c r="D20" s="3"/>
      <c r="E20" s="3"/>
      <c r="F20" s="3"/>
      <c r="G20" s="3"/>
      <c r="K20" s="49"/>
      <c r="L20" s="49"/>
      <c r="M20" s="49"/>
      <c r="N20" s="5"/>
      <c r="O20" s="4"/>
      <c r="P20" s="4"/>
      <c r="R20" s="4"/>
      <c r="S20" s="4"/>
      <c r="T20" s="4"/>
      <c r="U20" s="4"/>
    </row>
    <row r="21" customFormat="false" ht="30.75" hidden="false" customHeight="true" outlineLevel="0" collapsed="false">
      <c r="B21" s="6" t="s">
        <v>41</v>
      </c>
      <c r="C21" s="6"/>
      <c r="D21" s="50" t="s">
        <v>4</v>
      </c>
      <c r="E21" s="8" t="s">
        <v>5</v>
      </c>
      <c r="F21" s="8" t="s">
        <v>6</v>
      </c>
      <c r="G21" s="9" t="s">
        <v>7</v>
      </c>
      <c r="K21" s="49"/>
      <c r="L21" s="49"/>
      <c r="M21" s="49"/>
      <c r="N21" s="5"/>
      <c r="O21" s="4"/>
      <c r="P21" s="4"/>
      <c r="R21" s="4"/>
      <c r="S21" s="4"/>
      <c r="T21" s="4"/>
      <c r="U21" s="4"/>
    </row>
    <row r="22" customFormat="false" ht="20.1" hidden="false" customHeight="true" outlineLevel="0" collapsed="false">
      <c r="B22" s="316" t="n">
        <v>1</v>
      </c>
      <c r="C22" s="316"/>
      <c r="D22" s="317"/>
      <c r="E22" s="318"/>
      <c r="F22" s="319"/>
      <c r="G22" s="320"/>
      <c r="N22" s="4"/>
      <c r="O22" s="4"/>
      <c r="Q22" s="4"/>
      <c r="R22" s="4"/>
      <c r="S22" s="4"/>
      <c r="T22" s="4"/>
    </row>
    <row r="23" customFormat="false" ht="20.1" hidden="false" customHeight="true" outlineLevel="0" collapsed="false">
      <c r="L23" s="49"/>
      <c r="M23" s="49"/>
      <c r="N23" s="49"/>
      <c r="O23" s="5"/>
      <c r="P23" s="4"/>
      <c r="Q23" s="4"/>
      <c r="S23" s="4"/>
      <c r="T23" s="4"/>
      <c r="U23" s="4"/>
      <c r="V23" s="4"/>
    </row>
    <row r="24" customFormat="false" ht="20.1" hidden="false" customHeight="true" outlineLevel="0" collapsed="false">
      <c r="B24" s="56"/>
      <c r="C24" s="56"/>
      <c r="D24" s="57"/>
      <c r="E24" s="57"/>
      <c r="F24" s="57"/>
      <c r="G24" s="57"/>
      <c r="H24" s="56"/>
      <c r="I24" s="56"/>
      <c r="J24" s="56"/>
      <c r="K24" s="56"/>
      <c r="L24" s="56"/>
      <c r="M24" s="56"/>
      <c r="N24" s="56"/>
      <c r="O24" s="56"/>
      <c r="P24" s="56"/>
      <c r="Q24" s="56"/>
      <c r="R24" s="56"/>
      <c r="S24" s="56"/>
      <c r="T24" s="56"/>
      <c r="U24" s="56"/>
    </row>
    <row r="25" customFormat="false" ht="30" hidden="false" customHeight="true" outlineLevel="0" collapsed="false">
      <c r="B25" s="56"/>
      <c r="C25" s="58" t="s">
        <v>47</v>
      </c>
      <c r="D25" s="58"/>
      <c r="E25" s="58"/>
      <c r="F25" s="58"/>
      <c r="G25" s="58"/>
      <c r="H25" s="58"/>
      <c r="I25" s="58"/>
      <c r="J25" s="58"/>
      <c r="K25" s="58"/>
      <c r="L25" s="58"/>
      <c r="M25" s="58"/>
      <c r="N25" s="58"/>
      <c r="O25" s="58"/>
      <c r="P25" s="58"/>
      <c r="Q25" s="58"/>
      <c r="R25" s="58"/>
      <c r="S25" s="58"/>
      <c r="T25" s="58"/>
      <c r="U25" s="56"/>
    </row>
    <row r="26" customFormat="false" ht="20.1" hidden="false" customHeight="true" outlineLevel="0" collapsed="false">
      <c r="B26" s="56"/>
      <c r="U26" s="56"/>
    </row>
    <row r="27" customFormat="false" ht="20.1" hidden="false" customHeight="true" outlineLevel="0" collapsed="false">
      <c r="B27" s="56"/>
      <c r="D27" s="59" t="s">
        <v>48</v>
      </c>
      <c r="E27" s="60" t="s">
        <v>49</v>
      </c>
      <c r="F27" s="61" t="s">
        <v>10</v>
      </c>
      <c r="G27" s="60" t="s">
        <v>50</v>
      </c>
      <c r="H27" s="60"/>
      <c r="I27" s="60"/>
      <c r="J27" s="60"/>
      <c r="K27" s="60" t="s">
        <v>51</v>
      </c>
      <c r="L27" s="62" t="s">
        <v>52</v>
      </c>
      <c r="M27" s="62"/>
      <c r="N27" s="62"/>
      <c r="O27" s="62"/>
      <c r="P27" s="62"/>
      <c r="Q27" s="62"/>
      <c r="R27" s="62"/>
      <c r="S27" s="62"/>
      <c r="U27" s="56"/>
    </row>
    <row r="28" customFormat="false" ht="20.1" hidden="false" customHeight="true" outlineLevel="0" collapsed="false">
      <c r="B28" s="56"/>
      <c r="D28" s="59"/>
      <c r="E28" s="60"/>
      <c r="F28" s="60"/>
      <c r="G28" s="63" t="s">
        <v>53</v>
      </c>
      <c r="H28" s="63" t="s">
        <v>54</v>
      </c>
      <c r="I28" s="64" t="s">
        <v>55</v>
      </c>
      <c r="J28" s="64"/>
      <c r="K28" s="65" t="s">
        <v>56</v>
      </c>
      <c r="L28" s="65" t="s">
        <v>53</v>
      </c>
      <c r="M28" s="66" t="s">
        <v>57</v>
      </c>
      <c r="N28" s="61" t="s">
        <v>55</v>
      </c>
      <c r="O28" s="61"/>
      <c r="P28" s="61"/>
      <c r="Q28" s="61"/>
      <c r="R28" s="61"/>
      <c r="S28" s="61"/>
      <c r="U28" s="56"/>
    </row>
    <row r="29" customFormat="false" ht="20.1" hidden="false" customHeight="true" outlineLevel="0" collapsed="false">
      <c r="B29" s="56"/>
      <c r="D29" s="390" t="s">
        <v>37</v>
      </c>
      <c r="E29" s="391" t="s">
        <v>38</v>
      </c>
      <c r="F29" s="406" t="n">
        <v>1</v>
      </c>
      <c r="G29" s="407" t="s">
        <v>58</v>
      </c>
      <c r="H29" s="408" t="s">
        <v>269</v>
      </c>
      <c r="I29" s="70" t="s">
        <v>62</v>
      </c>
      <c r="J29" s="70"/>
      <c r="K29" s="417" t="s">
        <v>61</v>
      </c>
      <c r="L29" s="418" t="s">
        <v>62</v>
      </c>
      <c r="M29" s="395" t="s">
        <v>62</v>
      </c>
      <c r="N29" s="220" t="s">
        <v>62</v>
      </c>
      <c r="O29" s="220"/>
      <c r="P29" s="220"/>
      <c r="Q29" s="220"/>
      <c r="R29" s="220"/>
      <c r="S29" s="220"/>
      <c r="U29" s="56"/>
    </row>
    <row r="30" customFormat="false" ht="14.45" hidden="false" customHeight="true" outlineLevel="0" collapsed="false">
      <c r="B30" s="56"/>
      <c r="D30" s="228" t="s">
        <v>17</v>
      </c>
      <c r="E30" s="419" t="s">
        <v>18</v>
      </c>
      <c r="F30" s="28" t="n">
        <v>2</v>
      </c>
      <c r="G30" s="221" t="s">
        <v>58</v>
      </c>
      <c r="H30" s="222" t="s">
        <v>67</v>
      </c>
      <c r="I30" s="80" t="s">
        <v>70</v>
      </c>
      <c r="J30" s="80"/>
      <c r="K30" s="420" t="s">
        <v>61</v>
      </c>
      <c r="L30" s="421" t="s">
        <v>58</v>
      </c>
      <c r="M30" s="422" t="s">
        <v>320</v>
      </c>
      <c r="N30" s="80" t="s">
        <v>321</v>
      </c>
      <c r="O30" s="80"/>
      <c r="P30" s="80"/>
      <c r="Q30" s="80"/>
      <c r="R30" s="80"/>
      <c r="S30" s="80"/>
      <c r="U30" s="56"/>
    </row>
    <row r="31" customFormat="false" ht="14.45" hidden="false" customHeight="true" outlineLevel="0" collapsed="false">
      <c r="B31" s="56"/>
      <c r="D31" s="228"/>
      <c r="E31" s="419"/>
      <c r="F31" s="28"/>
      <c r="G31" s="221"/>
      <c r="H31" s="222"/>
      <c r="I31" s="85" t="s">
        <v>322</v>
      </c>
      <c r="J31" s="85"/>
      <c r="K31" s="420"/>
      <c r="L31" s="421"/>
      <c r="M31" s="422"/>
      <c r="N31" s="80"/>
      <c r="O31" s="80"/>
      <c r="P31" s="80"/>
      <c r="Q31" s="80"/>
      <c r="R31" s="80"/>
      <c r="S31" s="80"/>
      <c r="U31" s="56"/>
    </row>
    <row r="32" customFormat="false" ht="15" hidden="false" customHeight="true" outlineLevel="0" collapsed="false">
      <c r="B32" s="56"/>
      <c r="D32" s="87" t="s">
        <v>15</v>
      </c>
      <c r="E32" s="88" t="s">
        <v>16</v>
      </c>
      <c r="F32" s="28" t="n">
        <v>3</v>
      </c>
      <c r="G32" s="89" t="s">
        <v>58</v>
      </c>
      <c r="H32" s="90" t="s">
        <v>279</v>
      </c>
      <c r="I32" s="91" t="s">
        <v>280</v>
      </c>
      <c r="J32" s="91"/>
      <c r="K32" s="423" t="s">
        <v>67</v>
      </c>
      <c r="L32" s="233" t="s">
        <v>62</v>
      </c>
      <c r="M32" s="323" t="s">
        <v>62</v>
      </c>
      <c r="N32" s="84" t="s">
        <v>62</v>
      </c>
      <c r="O32" s="84"/>
      <c r="P32" s="84"/>
      <c r="Q32" s="84"/>
      <c r="R32" s="84"/>
      <c r="S32" s="84"/>
      <c r="U32" s="56"/>
    </row>
    <row r="33" customFormat="false" ht="15" hidden="false" customHeight="true" outlineLevel="0" collapsed="false">
      <c r="B33" s="56"/>
      <c r="D33" s="87"/>
      <c r="E33" s="88"/>
      <c r="F33" s="28"/>
      <c r="G33" s="89"/>
      <c r="H33" s="90"/>
      <c r="I33" s="96" t="s">
        <v>281</v>
      </c>
      <c r="J33" s="96"/>
      <c r="K33" s="423"/>
      <c r="L33" s="233"/>
      <c r="M33" s="323"/>
      <c r="N33" s="84"/>
      <c r="O33" s="84"/>
      <c r="P33" s="84"/>
      <c r="Q33" s="84"/>
      <c r="R33" s="84"/>
      <c r="S33" s="84"/>
      <c r="U33" s="56"/>
    </row>
    <row r="34" customFormat="false" ht="27.95" hidden="false" customHeight="true" outlineLevel="0" collapsed="false">
      <c r="B34" s="56"/>
      <c r="D34" s="87"/>
      <c r="E34" s="88"/>
      <c r="F34" s="28"/>
      <c r="G34" s="89"/>
      <c r="H34" s="90"/>
      <c r="I34" s="96" t="s">
        <v>323</v>
      </c>
      <c r="J34" s="96"/>
      <c r="K34" s="423"/>
      <c r="L34" s="233"/>
      <c r="M34" s="323"/>
      <c r="N34" s="84"/>
      <c r="O34" s="84"/>
      <c r="P34" s="84"/>
      <c r="Q34" s="84"/>
      <c r="R34" s="84"/>
      <c r="S34" s="84"/>
      <c r="U34" s="56"/>
    </row>
    <row r="35" customFormat="false" ht="15" hidden="false" customHeight="true" outlineLevel="0" collapsed="false">
      <c r="B35" s="56"/>
      <c r="D35" s="87"/>
      <c r="E35" s="88"/>
      <c r="F35" s="28"/>
      <c r="G35" s="89"/>
      <c r="H35" s="90"/>
      <c r="I35" s="96" t="s">
        <v>283</v>
      </c>
      <c r="J35" s="96"/>
      <c r="K35" s="423"/>
      <c r="L35" s="233"/>
      <c r="M35" s="323"/>
      <c r="N35" s="84"/>
      <c r="O35" s="84"/>
      <c r="P35" s="84"/>
      <c r="Q35" s="84"/>
      <c r="R35" s="84"/>
      <c r="S35" s="84"/>
      <c r="U35" s="56"/>
    </row>
    <row r="36" customFormat="false" ht="15" hidden="false" customHeight="true" outlineLevel="0" collapsed="false">
      <c r="B36" s="56"/>
      <c r="D36" s="87"/>
      <c r="E36" s="88"/>
      <c r="F36" s="28"/>
      <c r="G36" s="89"/>
      <c r="H36" s="90"/>
      <c r="I36" s="324" t="s">
        <v>284</v>
      </c>
      <c r="J36" s="324"/>
      <c r="K36" s="423"/>
      <c r="L36" s="233"/>
      <c r="M36" s="323"/>
      <c r="N36" s="84"/>
      <c r="O36" s="84"/>
      <c r="P36" s="84"/>
      <c r="Q36" s="84"/>
      <c r="R36" s="84"/>
      <c r="S36" s="84"/>
      <c r="U36" s="56"/>
    </row>
    <row r="37" customFormat="false" ht="15" hidden="false" customHeight="true" outlineLevel="0" collapsed="false">
      <c r="B37" s="56"/>
      <c r="D37" s="97" t="s">
        <v>20</v>
      </c>
      <c r="E37" s="39" t="s">
        <v>21</v>
      </c>
      <c r="F37" s="98" t="n">
        <v>4</v>
      </c>
      <c r="G37" s="99" t="s">
        <v>58</v>
      </c>
      <c r="H37" s="100" t="s">
        <v>61</v>
      </c>
      <c r="I37" s="101"/>
      <c r="J37" s="101"/>
      <c r="K37" s="424" t="s">
        <v>67</v>
      </c>
      <c r="L37" s="425" t="s">
        <v>324</v>
      </c>
      <c r="M37" s="100" t="s">
        <v>238</v>
      </c>
      <c r="N37" s="101" t="s">
        <v>239</v>
      </c>
      <c r="O37" s="101"/>
      <c r="P37" s="101"/>
      <c r="Q37" s="101"/>
      <c r="R37" s="101"/>
      <c r="S37" s="101"/>
      <c r="U37" s="56"/>
    </row>
    <row r="38" customFormat="false" ht="15" hidden="false" customHeight="true" outlineLevel="0" collapsed="false">
      <c r="B38" s="56"/>
      <c r="D38" s="97"/>
      <c r="E38" s="39"/>
      <c r="F38" s="98"/>
      <c r="G38" s="99"/>
      <c r="H38" s="100"/>
      <c r="I38" s="103"/>
      <c r="J38" s="103"/>
      <c r="K38" s="424"/>
      <c r="L38" s="425"/>
      <c r="M38" s="100"/>
      <c r="N38" s="103" t="s">
        <v>240</v>
      </c>
      <c r="O38" s="103"/>
      <c r="P38" s="103"/>
      <c r="Q38" s="103"/>
      <c r="R38" s="103"/>
      <c r="S38" s="103"/>
      <c r="U38" s="56"/>
    </row>
    <row r="39" customFormat="false" ht="15" hidden="false" customHeight="true" outlineLevel="0" collapsed="false">
      <c r="B39" s="56"/>
      <c r="D39" s="97"/>
      <c r="E39" s="39"/>
      <c r="F39" s="98"/>
      <c r="G39" s="99"/>
      <c r="H39" s="100"/>
      <c r="I39" s="103"/>
      <c r="J39" s="103"/>
      <c r="K39" s="424"/>
      <c r="L39" s="425"/>
      <c r="M39" s="100"/>
      <c r="N39" s="103" t="s">
        <v>241</v>
      </c>
      <c r="O39" s="103"/>
      <c r="P39" s="103"/>
      <c r="Q39" s="103"/>
      <c r="R39" s="103"/>
      <c r="S39" s="103"/>
      <c r="U39" s="56"/>
    </row>
    <row r="40" customFormat="false" ht="15" hidden="false" customHeight="true" outlineLevel="0" collapsed="false">
      <c r="B40" s="56"/>
      <c r="D40" s="97"/>
      <c r="E40" s="39"/>
      <c r="F40" s="98"/>
      <c r="G40" s="99"/>
      <c r="H40" s="100"/>
      <c r="I40" s="103"/>
      <c r="J40" s="103"/>
      <c r="K40" s="424"/>
      <c r="L40" s="425"/>
      <c r="M40" s="100"/>
      <c r="N40" s="103" t="s">
        <v>325</v>
      </c>
      <c r="O40" s="103"/>
      <c r="P40" s="103"/>
      <c r="Q40" s="103"/>
      <c r="R40" s="103"/>
      <c r="S40" s="103"/>
      <c r="U40" s="56"/>
    </row>
    <row r="41" customFormat="false" ht="15" hidden="false" customHeight="true" outlineLevel="0" collapsed="false">
      <c r="B41" s="56"/>
      <c r="D41" s="97"/>
      <c r="E41" s="39"/>
      <c r="F41" s="98"/>
      <c r="G41" s="99"/>
      <c r="H41" s="100"/>
      <c r="I41" s="103"/>
      <c r="J41" s="103"/>
      <c r="K41" s="424"/>
      <c r="L41" s="425"/>
      <c r="M41" s="100"/>
      <c r="N41" s="103" t="s">
        <v>243</v>
      </c>
      <c r="O41" s="103"/>
      <c r="P41" s="103"/>
      <c r="Q41" s="103"/>
      <c r="R41" s="103"/>
      <c r="S41" s="103"/>
      <c r="U41" s="56"/>
    </row>
    <row r="42" customFormat="false" ht="15" hidden="false" customHeight="true" outlineLevel="0" collapsed="false">
      <c r="B42" s="56"/>
      <c r="D42" s="97"/>
      <c r="E42" s="39"/>
      <c r="F42" s="98"/>
      <c r="G42" s="99"/>
      <c r="H42" s="100"/>
      <c r="I42" s="103"/>
      <c r="J42" s="103"/>
      <c r="K42" s="424"/>
      <c r="L42" s="425"/>
      <c r="M42" s="100"/>
      <c r="N42" s="103" t="s">
        <v>244</v>
      </c>
      <c r="O42" s="103"/>
      <c r="P42" s="103"/>
      <c r="Q42" s="103"/>
      <c r="R42" s="103"/>
      <c r="S42" s="103"/>
      <c r="U42" s="56"/>
    </row>
    <row r="43" customFormat="false" ht="15" hidden="false" customHeight="true" outlineLevel="0" collapsed="false">
      <c r="B43" s="56"/>
      <c r="D43" s="97"/>
      <c r="E43" s="39"/>
      <c r="F43" s="98"/>
      <c r="G43" s="99"/>
      <c r="H43" s="100"/>
      <c r="I43" s="103"/>
      <c r="J43" s="103"/>
      <c r="K43" s="424"/>
      <c r="L43" s="425"/>
      <c r="M43" s="100"/>
      <c r="N43" s="103" t="s">
        <v>326</v>
      </c>
      <c r="O43" s="103"/>
      <c r="P43" s="103"/>
      <c r="Q43" s="103"/>
      <c r="R43" s="103"/>
      <c r="S43" s="103"/>
      <c r="U43" s="56"/>
    </row>
    <row r="44" customFormat="false" ht="27.95" hidden="false" customHeight="true" outlineLevel="0" collapsed="false">
      <c r="B44" s="56"/>
      <c r="D44" s="97"/>
      <c r="E44" s="39"/>
      <c r="F44" s="98"/>
      <c r="G44" s="99"/>
      <c r="H44" s="100"/>
      <c r="I44" s="103"/>
      <c r="J44" s="103"/>
      <c r="K44" s="424"/>
      <c r="L44" s="425"/>
      <c r="M44" s="100"/>
      <c r="N44" s="103" t="s">
        <v>327</v>
      </c>
      <c r="O44" s="103"/>
      <c r="P44" s="103"/>
      <c r="Q44" s="103"/>
      <c r="R44" s="103"/>
      <c r="S44" s="103"/>
      <c r="U44" s="56"/>
    </row>
    <row r="45" customFormat="false" ht="15" hidden="false" customHeight="true" outlineLevel="0" collapsed="false">
      <c r="B45" s="56"/>
      <c r="D45" s="97"/>
      <c r="E45" s="39"/>
      <c r="F45" s="98"/>
      <c r="G45" s="99"/>
      <c r="H45" s="100"/>
      <c r="I45" s="103"/>
      <c r="J45" s="103"/>
      <c r="K45" s="424"/>
      <c r="L45" s="425"/>
      <c r="M45" s="100"/>
      <c r="N45" s="103" t="s">
        <v>328</v>
      </c>
      <c r="O45" s="103"/>
      <c r="P45" s="103"/>
      <c r="Q45" s="103"/>
      <c r="R45" s="103"/>
      <c r="S45" s="103"/>
      <c r="U45" s="56"/>
    </row>
    <row r="46" customFormat="false" ht="27.95" hidden="false" customHeight="true" outlineLevel="0" collapsed="false">
      <c r="B46" s="56"/>
      <c r="D46" s="97"/>
      <c r="E46" s="39"/>
      <c r="F46" s="98"/>
      <c r="G46" s="99"/>
      <c r="H46" s="100"/>
      <c r="I46" s="103"/>
      <c r="J46" s="103"/>
      <c r="K46" s="424"/>
      <c r="L46" s="425"/>
      <c r="M46" s="100"/>
      <c r="N46" s="103" t="s">
        <v>329</v>
      </c>
      <c r="O46" s="103"/>
      <c r="P46" s="103"/>
      <c r="Q46" s="103"/>
      <c r="R46" s="103"/>
      <c r="S46" s="103"/>
      <c r="U46" s="56"/>
    </row>
    <row r="47" customFormat="false" ht="27.95" hidden="false" customHeight="true" outlineLevel="0" collapsed="false">
      <c r="B47" s="56"/>
      <c r="D47" s="97"/>
      <c r="E47" s="39"/>
      <c r="F47" s="98"/>
      <c r="G47" s="99"/>
      <c r="H47" s="100"/>
      <c r="I47" s="103"/>
      <c r="J47" s="103"/>
      <c r="K47" s="424"/>
      <c r="L47" s="425"/>
      <c r="M47" s="100"/>
      <c r="N47" s="103" t="s">
        <v>330</v>
      </c>
      <c r="O47" s="103"/>
      <c r="P47" s="103"/>
      <c r="Q47" s="103"/>
      <c r="R47" s="103"/>
      <c r="S47" s="103"/>
      <c r="U47" s="56"/>
    </row>
    <row r="48" customFormat="false" ht="27.95" hidden="false" customHeight="true" outlineLevel="0" collapsed="false">
      <c r="B48" s="56"/>
      <c r="D48" s="97"/>
      <c r="E48" s="39"/>
      <c r="F48" s="98"/>
      <c r="G48" s="99"/>
      <c r="H48" s="100"/>
      <c r="I48" s="103"/>
      <c r="J48" s="103"/>
      <c r="K48" s="424"/>
      <c r="L48" s="425"/>
      <c r="M48" s="100"/>
      <c r="N48" s="103" t="s">
        <v>248</v>
      </c>
      <c r="O48" s="103"/>
      <c r="P48" s="103"/>
      <c r="Q48" s="103"/>
      <c r="R48" s="103"/>
      <c r="S48" s="103"/>
      <c r="U48" s="56"/>
    </row>
    <row r="49" customFormat="false" ht="27.95" hidden="false" customHeight="true" outlineLevel="0" collapsed="false">
      <c r="B49" s="56"/>
      <c r="D49" s="97"/>
      <c r="E49" s="39"/>
      <c r="F49" s="98"/>
      <c r="G49" s="99"/>
      <c r="H49" s="100"/>
      <c r="I49" s="103"/>
      <c r="J49" s="103"/>
      <c r="K49" s="424"/>
      <c r="L49" s="425"/>
      <c r="M49" s="100"/>
      <c r="N49" s="103" t="s">
        <v>249</v>
      </c>
      <c r="O49" s="103"/>
      <c r="P49" s="103"/>
      <c r="Q49" s="103"/>
      <c r="R49" s="103"/>
      <c r="S49" s="103"/>
      <c r="U49" s="56"/>
    </row>
    <row r="50" customFormat="false" ht="15" hidden="false" customHeight="true" outlineLevel="0" collapsed="false">
      <c r="B50" s="56"/>
      <c r="D50" s="97"/>
      <c r="E50" s="39"/>
      <c r="F50" s="98"/>
      <c r="G50" s="99"/>
      <c r="H50" s="100"/>
      <c r="I50" s="103"/>
      <c r="J50" s="103"/>
      <c r="K50" s="424"/>
      <c r="L50" s="425"/>
      <c r="M50" s="100"/>
      <c r="N50" s="103" t="s">
        <v>331</v>
      </c>
      <c r="O50" s="103"/>
      <c r="P50" s="103"/>
      <c r="Q50" s="103"/>
      <c r="R50" s="103"/>
      <c r="S50" s="103"/>
      <c r="U50" s="56"/>
    </row>
    <row r="51" customFormat="false" ht="15" hidden="false" customHeight="true" outlineLevel="0" collapsed="false">
      <c r="B51" s="56"/>
      <c r="D51" s="97"/>
      <c r="E51" s="39"/>
      <c r="F51" s="98"/>
      <c r="G51" s="99"/>
      <c r="H51" s="100"/>
      <c r="I51" s="103"/>
      <c r="J51" s="103"/>
      <c r="K51" s="424"/>
      <c r="L51" s="425"/>
      <c r="M51" s="100"/>
      <c r="N51" s="103" t="s">
        <v>332</v>
      </c>
      <c r="O51" s="103"/>
      <c r="P51" s="103"/>
      <c r="Q51" s="103"/>
      <c r="R51" s="103"/>
      <c r="S51" s="103"/>
      <c r="U51" s="56"/>
    </row>
    <row r="52" customFormat="false" ht="27.95" hidden="false" customHeight="true" outlineLevel="0" collapsed="false">
      <c r="B52" s="56"/>
      <c r="D52" s="97"/>
      <c r="E52" s="39"/>
      <c r="F52" s="98"/>
      <c r="G52" s="99"/>
      <c r="H52" s="100"/>
      <c r="I52" s="103"/>
      <c r="J52" s="103"/>
      <c r="K52" s="424"/>
      <c r="L52" s="425"/>
      <c r="M52" s="100"/>
      <c r="N52" s="103" t="s">
        <v>252</v>
      </c>
      <c r="O52" s="103"/>
      <c r="P52" s="103"/>
      <c r="Q52" s="103"/>
      <c r="R52" s="103"/>
      <c r="S52" s="103"/>
      <c r="U52" s="56"/>
    </row>
    <row r="53" customFormat="false" ht="15" hidden="false" customHeight="true" outlineLevel="0" collapsed="false">
      <c r="B53" s="56"/>
      <c r="D53" s="97"/>
      <c r="E53" s="39"/>
      <c r="F53" s="98"/>
      <c r="G53" s="99"/>
      <c r="H53" s="100"/>
      <c r="I53" s="103"/>
      <c r="J53" s="103"/>
      <c r="K53" s="424"/>
      <c r="L53" s="425"/>
      <c r="M53" s="100"/>
      <c r="N53" s="103" t="s">
        <v>253</v>
      </c>
      <c r="O53" s="103"/>
      <c r="P53" s="103"/>
      <c r="Q53" s="103"/>
      <c r="R53" s="103"/>
      <c r="S53" s="103"/>
      <c r="U53" s="56"/>
    </row>
    <row r="54" customFormat="false" ht="15" hidden="false" customHeight="true" outlineLevel="0" collapsed="false">
      <c r="B54" s="56"/>
      <c r="D54" s="97"/>
      <c r="E54" s="39"/>
      <c r="F54" s="98"/>
      <c r="G54" s="99"/>
      <c r="H54" s="100"/>
      <c r="I54" s="103" t="s">
        <v>74</v>
      </c>
      <c r="J54" s="103"/>
      <c r="K54" s="424"/>
      <c r="L54" s="425"/>
      <c r="M54" s="100"/>
      <c r="N54" s="103" t="s">
        <v>333</v>
      </c>
      <c r="O54" s="103"/>
      <c r="P54" s="103"/>
      <c r="Q54" s="103"/>
      <c r="R54" s="103"/>
      <c r="S54" s="103"/>
      <c r="U54" s="56"/>
    </row>
    <row r="55" customFormat="false" ht="15" hidden="false" customHeight="true" outlineLevel="0" collapsed="false">
      <c r="B55" s="56"/>
      <c r="D55" s="97"/>
      <c r="E55" s="39"/>
      <c r="F55" s="98"/>
      <c r="G55" s="99"/>
      <c r="H55" s="100"/>
      <c r="I55" s="103" t="s">
        <v>77</v>
      </c>
      <c r="J55" s="103"/>
      <c r="K55" s="424"/>
      <c r="L55" s="425"/>
      <c r="M55" s="100"/>
      <c r="N55" s="103" t="s">
        <v>255</v>
      </c>
      <c r="O55" s="103"/>
      <c r="P55" s="103"/>
      <c r="Q55" s="103"/>
      <c r="R55" s="103"/>
      <c r="S55" s="103"/>
      <c r="U55" s="56"/>
    </row>
    <row r="56" customFormat="false" ht="15" hidden="false" customHeight="true" outlineLevel="0" collapsed="false">
      <c r="B56" s="56"/>
      <c r="D56" s="97"/>
      <c r="E56" s="39"/>
      <c r="F56" s="98"/>
      <c r="G56" s="99"/>
      <c r="H56" s="100"/>
      <c r="I56" s="103"/>
      <c r="J56" s="103"/>
      <c r="K56" s="424"/>
      <c r="L56" s="425"/>
      <c r="M56" s="100"/>
      <c r="N56" s="103" t="s">
        <v>256</v>
      </c>
      <c r="O56" s="103"/>
      <c r="P56" s="103"/>
      <c r="Q56" s="103"/>
      <c r="R56" s="103"/>
      <c r="S56" s="103"/>
      <c r="U56" s="56"/>
    </row>
    <row r="57" customFormat="false" ht="27.95" hidden="false" customHeight="true" outlineLevel="0" collapsed="false">
      <c r="B57" s="56"/>
      <c r="D57" s="97"/>
      <c r="E57" s="39"/>
      <c r="F57" s="98"/>
      <c r="G57" s="99"/>
      <c r="H57" s="100"/>
      <c r="I57" s="103"/>
      <c r="J57" s="103"/>
      <c r="K57" s="424"/>
      <c r="L57" s="425"/>
      <c r="M57" s="100"/>
      <c r="N57" s="103" t="s">
        <v>257</v>
      </c>
      <c r="O57" s="103"/>
      <c r="P57" s="103"/>
      <c r="Q57" s="103"/>
      <c r="R57" s="103"/>
      <c r="S57" s="103"/>
      <c r="U57" s="56"/>
    </row>
    <row r="58" customFormat="false" ht="27.95" hidden="false" customHeight="true" outlineLevel="0" collapsed="false">
      <c r="B58" s="56"/>
      <c r="D58" s="97"/>
      <c r="E58" s="39"/>
      <c r="F58" s="98"/>
      <c r="G58" s="99"/>
      <c r="H58" s="100"/>
      <c r="I58" s="103"/>
      <c r="J58" s="103"/>
      <c r="K58" s="424"/>
      <c r="L58" s="425"/>
      <c r="M58" s="100"/>
      <c r="N58" s="103" t="s">
        <v>258</v>
      </c>
      <c r="O58" s="103"/>
      <c r="P58" s="103"/>
      <c r="Q58" s="103"/>
      <c r="R58" s="103"/>
      <c r="S58" s="103"/>
      <c r="U58" s="56"/>
    </row>
    <row r="59" customFormat="false" ht="27.95" hidden="false" customHeight="true" outlineLevel="0" collapsed="false">
      <c r="B59" s="56"/>
      <c r="D59" s="97"/>
      <c r="E59" s="39"/>
      <c r="F59" s="98"/>
      <c r="G59" s="99"/>
      <c r="H59" s="100"/>
      <c r="I59" s="103"/>
      <c r="J59" s="103"/>
      <c r="K59" s="424"/>
      <c r="L59" s="425"/>
      <c r="M59" s="100"/>
      <c r="N59" s="103" t="s">
        <v>259</v>
      </c>
      <c r="O59" s="103"/>
      <c r="P59" s="103"/>
      <c r="Q59" s="103"/>
      <c r="R59" s="103"/>
      <c r="S59" s="103"/>
      <c r="U59" s="56"/>
    </row>
    <row r="60" customFormat="false" ht="15" hidden="false" customHeight="true" outlineLevel="0" collapsed="false">
      <c r="B60" s="56"/>
      <c r="D60" s="97"/>
      <c r="E60" s="39"/>
      <c r="F60" s="98"/>
      <c r="G60" s="99"/>
      <c r="H60" s="100"/>
      <c r="I60" s="103"/>
      <c r="J60" s="103"/>
      <c r="K60" s="424"/>
      <c r="L60" s="425"/>
      <c r="M60" s="100"/>
      <c r="N60" s="103" t="s">
        <v>260</v>
      </c>
      <c r="O60" s="103"/>
      <c r="P60" s="103"/>
      <c r="Q60" s="103"/>
      <c r="R60" s="103"/>
      <c r="S60" s="103"/>
      <c r="U60" s="56"/>
    </row>
    <row r="61" customFormat="false" ht="27.95" hidden="false" customHeight="true" outlineLevel="0" collapsed="false">
      <c r="B61" s="56"/>
      <c r="D61" s="97"/>
      <c r="E61" s="39"/>
      <c r="F61" s="98"/>
      <c r="G61" s="99"/>
      <c r="H61" s="100"/>
      <c r="I61" s="103"/>
      <c r="J61" s="103"/>
      <c r="K61" s="424"/>
      <c r="L61" s="425"/>
      <c r="M61" s="100"/>
      <c r="N61" s="103" t="s">
        <v>261</v>
      </c>
      <c r="O61" s="103"/>
      <c r="P61" s="103"/>
      <c r="Q61" s="103"/>
      <c r="R61" s="103"/>
      <c r="S61" s="103"/>
      <c r="U61" s="56"/>
    </row>
    <row r="62" customFormat="false" ht="27.95" hidden="false" customHeight="true" outlineLevel="0" collapsed="false">
      <c r="B62" s="56"/>
      <c r="D62" s="97"/>
      <c r="E62" s="39"/>
      <c r="F62" s="98"/>
      <c r="G62" s="99"/>
      <c r="H62" s="100"/>
      <c r="I62" s="103"/>
      <c r="J62" s="103"/>
      <c r="K62" s="424"/>
      <c r="L62" s="425"/>
      <c r="M62" s="100"/>
      <c r="N62" s="103" t="s">
        <v>262</v>
      </c>
      <c r="O62" s="103"/>
      <c r="P62" s="103"/>
      <c r="Q62" s="103"/>
      <c r="R62" s="103"/>
      <c r="S62" s="103"/>
      <c r="U62" s="56"/>
    </row>
    <row r="63" customFormat="false" ht="27.95" hidden="false" customHeight="true" outlineLevel="0" collapsed="false">
      <c r="B63" s="56"/>
      <c r="D63" s="97"/>
      <c r="E63" s="39"/>
      <c r="F63" s="98"/>
      <c r="G63" s="99"/>
      <c r="H63" s="100"/>
      <c r="I63" s="103"/>
      <c r="J63" s="103"/>
      <c r="K63" s="424"/>
      <c r="L63" s="425"/>
      <c r="M63" s="100"/>
      <c r="N63" s="103" t="s">
        <v>334</v>
      </c>
      <c r="O63" s="103"/>
      <c r="P63" s="103"/>
      <c r="Q63" s="103"/>
      <c r="R63" s="103"/>
      <c r="S63" s="103"/>
      <c r="U63" s="56"/>
    </row>
    <row r="64" customFormat="false" ht="27.95" hidden="false" customHeight="true" outlineLevel="0" collapsed="false">
      <c r="B64" s="56"/>
      <c r="D64" s="97"/>
      <c r="E64" s="39"/>
      <c r="F64" s="98"/>
      <c r="G64" s="99"/>
      <c r="H64" s="100"/>
      <c r="I64" s="103"/>
      <c r="J64" s="103"/>
      <c r="K64" s="424"/>
      <c r="L64" s="425"/>
      <c r="M64" s="100"/>
      <c r="N64" s="103" t="s">
        <v>264</v>
      </c>
      <c r="O64" s="103"/>
      <c r="P64" s="103"/>
      <c r="Q64" s="103"/>
      <c r="R64" s="103"/>
      <c r="S64" s="103"/>
      <c r="U64" s="56"/>
    </row>
    <row r="65" customFormat="false" ht="27.95" hidden="false" customHeight="true" outlineLevel="0" collapsed="false">
      <c r="B65" s="56"/>
      <c r="D65" s="97"/>
      <c r="E65" s="39"/>
      <c r="F65" s="98"/>
      <c r="G65" s="99"/>
      <c r="H65" s="100"/>
      <c r="I65" s="103"/>
      <c r="J65" s="103"/>
      <c r="K65" s="424"/>
      <c r="L65" s="425"/>
      <c r="M65" s="100"/>
      <c r="N65" s="103" t="s">
        <v>265</v>
      </c>
      <c r="O65" s="103"/>
      <c r="P65" s="103"/>
      <c r="Q65" s="103"/>
      <c r="R65" s="103"/>
      <c r="S65" s="103"/>
      <c r="U65" s="56"/>
    </row>
    <row r="66" customFormat="false" ht="27.95" hidden="false" customHeight="true" outlineLevel="0" collapsed="false">
      <c r="B66" s="56"/>
      <c r="D66" s="97"/>
      <c r="E66" s="39"/>
      <c r="F66" s="98"/>
      <c r="G66" s="99"/>
      <c r="H66" s="100"/>
      <c r="I66" s="103"/>
      <c r="J66" s="103"/>
      <c r="K66" s="424"/>
      <c r="L66" s="425"/>
      <c r="M66" s="100"/>
      <c r="N66" s="103" t="s">
        <v>335</v>
      </c>
      <c r="O66" s="103"/>
      <c r="P66" s="103"/>
      <c r="Q66" s="103"/>
      <c r="R66" s="103"/>
      <c r="S66" s="103"/>
      <c r="U66" s="56"/>
    </row>
    <row r="67" customFormat="false" ht="15" hidden="false" customHeight="true" outlineLevel="0" collapsed="false">
      <c r="B67" s="56"/>
      <c r="D67" s="97"/>
      <c r="E67" s="39"/>
      <c r="F67" s="98"/>
      <c r="G67" s="99"/>
      <c r="H67" s="100"/>
      <c r="I67" s="103"/>
      <c r="J67" s="103"/>
      <c r="K67" s="424"/>
      <c r="L67" s="425"/>
      <c r="M67" s="100"/>
      <c r="N67" s="103" t="s">
        <v>336</v>
      </c>
      <c r="O67" s="103"/>
      <c r="P67" s="103"/>
      <c r="Q67" s="103"/>
      <c r="R67" s="103"/>
      <c r="S67" s="103"/>
      <c r="U67" s="56"/>
    </row>
    <row r="68" customFormat="false" ht="27.95" hidden="false" customHeight="true" outlineLevel="0" collapsed="false">
      <c r="B68" s="56"/>
      <c r="D68" s="97"/>
      <c r="E68" s="39"/>
      <c r="F68" s="98"/>
      <c r="G68" s="99"/>
      <c r="H68" s="100"/>
      <c r="I68" s="104"/>
      <c r="J68" s="104"/>
      <c r="K68" s="424"/>
      <c r="L68" s="425"/>
      <c r="M68" s="100"/>
      <c r="N68" s="105" t="s">
        <v>268</v>
      </c>
      <c r="O68" s="105"/>
      <c r="P68" s="105"/>
      <c r="Q68" s="105"/>
      <c r="R68" s="105"/>
      <c r="S68" s="105"/>
      <c r="U68" s="56"/>
    </row>
    <row r="69" customFormat="false" ht="20.1" hidden="false" customHeight="true" outlineLevel="0" collapsed="false">
      <c r="B69" s="56"/>
      <c r="U69" s="56"/>
    </row>
    <row r="70" customFormat="false" ht="20.1" hidden="false" customHeight="true" outlineLevel="0" collapsed="false">
      <c r="B70" s="56"/>
      <c r="C70" s="106"/>
      <c r="D70" s="106"/>
      <c r="E70" s="107" t="str">
        <f aca="false">IF(OR(M29="-",M29= ""),H29,M29)</f>
        <v>Lewis &amp; Clark</v>
      </c>
      <c r="F70" s="107"/>
      <c r="G70" s="107"/>
      <c r="H70" s="107"/>
      <c r="I70" s="107"/>
      <c r="J70" s="107"/>
      <c r="K70" s="107"/>
      <c r="L70" s="107"/>
      <c r="M70" s="107"/>
      <c r="N70" s="107"/>
      <c r="O70" s="108"/>
      <c r="P70" s="108"/>
      <c r="Q70" s="108"/>
      <c r="R70" s="108"/>
      <c r="S70" s="108"/>
      <c r="T70" s="106"/>
      <c r="U70" s="56"/>
    </row>
    <row r="71" customFormat="false" ht="50.1" hidden="false" customHeight="true" outlineLevel="0" collapsed="false">
      <c r="B71" s="56"/>
      <c r="C71" s="106"/>
      <c r="D71" s="108"/>
      <c r="E71" s="59" t="s">
        <v>48</v>
      </c>
      <c r="F71" s="109" t="s">
        <v>80</v>
      </c>
      <c r="G71" s="61" t="s">
        <v>81</v>
      </c>
      <c r="H71" s="60" t="s">
        <v>82</v>
      </c>
      <c r="I71" s="6" t="s">
        <v>83</v>
      </c>
      <c r="J71" s="60" t="s">
        <v>84</v>
      </c>
      <c r="K71" s="110" t="s">
        <v>85</v>
      </c>
      <c r="L71" s="60" t="s">
        <v>86</v>
      </c>
      <c r="M71" s="111" t="s">
        <v>87</v>
      </c>
      <c r="N71" s="61" t="s">
        <v>88</v>
      </c>
      <c r="O71" s="112" t="s">
        <v>89</v>
      </c>
      <c r="P71" s="113" t="s">
        <v>90</v>
      </c>
      <c r="Q71" s="113" t="s">
        <v>91</v>
      </c>
      <c r="R71" s="113" t="s">
        <v>92</v>
      </c>
      <c r="S71" s="108"/>
      <c r="T71" s="106"/>
      <c r="U71" s="56"/>
    </row>
    <row r="72" customFormat="false" ht="20.1" hidden="false" customHeight="true" outlineLevel="0" collapsed="false">
      <c r="B72" s="56"/>
      <c r="C72" s="106"/>
      <c r="D72" s="106"/>
      <c r="E72" s="348" t="s">
        <v>37</v>
      </c>
      <c r="F72" s="16" t="s">
        <v>38</v>
      </c>
      <c r="G72" s="114" t="n">
        <v>4</v>
      </c>
      <c r="H72" s="114" t="s">
        <v>62</v>
      </c>
      <c r="I72" s="114" t="n">
        <v>0</v>
      </c>
      <c r="J72" s="114" t="n">
        <v>36</v>
      </c>
      <c r="K72" s="114" t="s">
        <v>62</v>
      </c>
      <c r="L72" s="115" t="n">
        <f aca="false">IF(J72="",0,(J72/J76)*100)</f>
        <v>81.8181818181818</v>
      </c>
      <c r="M72" s="114" t="n">
        <v>2</v>
      </c>
      <c r="N72" s="20" t="n">
        <v>3</v>
      </c>
      <c r="O72" s="116" t="n">
        <f aca="false">IF(M72=1,1,0)</f>
        <v>0</v>
      </c>
      <c r="P72" s="117" t="n">
        <f aca="false">IF(M72=2,1,0)</f>
        <v>1</v>
      </c>
      <c r="Q72" s="117" t="n">
        <f aca="false">IF(M72=3,1,0)</f>
        <v>0</v>
      </c>
      <c r="R72" s="118" t="n">
        <f aca="false">IF(M72=4,1,0)</f>
        <v>0</v>
      </c>
      <c r="S72" s="119"/>
      <c r="T72" s="106"/>
      <c r="U72" s="56"/>
    </row>
    <row r="73" customFormat="false" ht="20.1" hidden="false" customHeight="true" outlineLevel="0" collapsed="false">
      <c r="B73" s="56"/>
      <c r="C73" s="106"/>
      <c r="D73" s="106"/>
      <c r="E73" s="120" t="s">
        <v>17</v>
      </c>
      <c r="F73" s="23" t="s">
        <v>18</v>
      </c>
      <c r="G73" s="121" t="n">
        <v>3</v>
      </c>
      <c r="H73" s="121" t="s">
        <v>62</v>
      </c>
      <c r="I73" s="121" t="n">
        <v>0</v>
      </c>
      <c r="J73" s="121" t="n">
        <v>28</v>
      </c>
      <c r="K73" s="121" t="s">
        <v>62</v>
      </c>
      <c r="L73" s="122" t="n">
        <f aca="false">IF(J73="",0,(J73/J76)*100)</f>
        <v>63.6363636363636</v>
      </c>
      <c r="M73" s="121" t="n">
        <v>3</v>
      </c>
      <c r="N73" s="26" t="n">
        <v>1</v>
      </c>
      <c r="O73" s="123" t="n">
        <f aca="false">IF(M73=1,1,0)</f>
        <v>0</v>
      </c>
      <c r="P73" s="124" t="n">
        <f aca="false">IF(M73=2,1,0)</f>
        <v>0</v>
      </c>
      <c r="Q73" s="124" t="n">
        <f aca="false">IF(M73=3,1,0)</f>
        <v>1</v>
      </c>
      <c r="R73" s="125" t="n">
        <f aca="false">IF(M73=4,1,0)</f>
        <v>0</v>
      </c>
      <c r="S73" s="119"/>
      <c r="T73" s="106"/>
      <c r="U73" s="56"/>
    </row>
    <row r="74" customFormat="false" ht="20.1" hidden="false" customHeight="true" outlineLevel="0" collapsed="false">
      <c r="B74" s="56"/>
      <c r="C74" s="106"/>
      <c r="D74" s="106"/>
      <c r="E74" s="126" t="s">
        <v>15</v>
      </c>
      <c r="F74" s="127" t="s">
        <v>16</v>
      </c>
      <c r="G74" s="128" t="n">
        <v>2</v>
      </c>
      <c r="H74" s="128" t="s">
        <v>62</v>
      </c>
      <c r="I74" s="128" t="n">
        <v>0</v>
      </c>
      <c r="J74" s="128" t="n">
        <v>44</v>
      </c>
      <c r="K74" s="128" t="s">
        <v>62</v>
      </c>
      <c r="L74" s="129" t="n">
        <f aca="false">IF(J74="",0,(J74/J76)*100)</f>
        <v>100</v>
      </c>
      <c r="M74" s="128" t="n">
        <v>1</v>
      </c>
      <c r="N74" s="130" t="n">
        <v>6</v>
      </c>
      <c r="O74" s="123" t="n">
        <f aca="false">IF(M74=1,1,0)</f>
        <v>1</v>
      </c>
      <c r="P74" s="124" t="n">
        <f aca="false">IF(M74=2,1,0)</f>
        <v>0</v>
      </c>
      <c r="Q74" s="124" t="n">
        <f aca="false">IF(M74=3,1,0)</f>
        <v>0</v>
      </c>
      <c r="R74" s="125" t="n">
        <f aca="false">IF(M74=4,1,0)</f>
        <v>0</v>
      </c>
      <c r="S74" s="119"/>
      <c r="T74" s="106"/>
      <c r="U74" s="56"/>
    </row>
    <row r="75" customFormat="false" ht="20.1" hidden="false" customHeight="true" outlineLevel="0" collapsed="false">
      <c r="B75" s="56"/>
      <c r="C75" s="106"/>
      <c r="D75" s="131"/>
      <c r="E75" s="97" t="s">
        <v>20</v>
      </c>
      <c r="F75" s="132" t="s">
        <v>21</v>
      </c>
      <c r="G75" s="133" t="n">
        <v>1</v>
      </c>
      <c r="H75" s="133" t="s">
        <v>62</v>
      </c>
      <c r="I75" s="133" t="n">
        <v>0</v>
      </c>
      <c r="J75" s="133" t="n">
        <v>14</v>
      </c>
      <c r="K75" s="133" t="s">
        <v>62</v>
      </c>
      <c r="L75" s="134" t="n">
        <f aca="false">IF(J75="",0,(J75/J76)*100)</f>
        <v>31.8181818181818</v>
      </c>
      <c r="M75" s="133" t="n">
        <v>4</v>
      </c>
      <c r="N75" s="44" t="n">
        <v>0</v>
      </c>
      <c r="O75" s="135" t="n">
        <f aca="false">IF(M75=1,1,0)</f>
        <v>0</v>
      </c>
      <c r="P75" s="136" t="n">
        <f aca="false">IF(M75=2,1,0)</f>
        <v>0</v>
      </c>
      <c r="Q75" s="136" t="n">
        <f aca="false">IF(M75=3,1,0)</f>
        <v>0</v>
      </c>
      <c r="R75" s="137" t="n">
        <f aca="false">IF(M75=4,1,0)</f>
        <v>1</v>
      </c>
      <c r="S75" s="119"/>
      <c r="T75" s="106"/>
      <c r="U75" s="56"/>
    </row>
    <row r="76" customFormat="false" ht="20.1" hidden="true" customHeight="true" outlineLevel="1" collapsed="false">
      <c r="B76" s="56"/>
      <c r="C76" s="106"/>
      <c r="D76" s="138"/>
      <c r="E76" s="138"/>
      <c r="F76" s="139"/>
      <c r="G76" s="139"/>
      <c r="H76" s="106"/>
      <c r="I76" s="140" t="s">
        <v>94</v>
      </c>
      <c r="J76" s="141" t="n">
        <f aca="false">MAX(J72:J75)</f>
        <v>44</v>
      </c>
      <c r="K76" s="142"/>
      <c r="L76" s="143"/>
      <c r="M76" s="106"/>
      <c r="N76" s="144" t="s">
        <v>95</v>
      </c>
      <c r="O76" s="145" t="n">
        <f aca="false">SUM(O72:O75)</f>
        <v>1</v>
      </c>
      <c r="P76" s="146" t="n">
        <f aca="false">SUM(P72:P75)</f>
        <v>1</v>
      </c>
      <c r="Q76" s="145" t="n">
        <f aca="false">SUM(Q72:Q75)</f>
        <v>1</v>
      </c>
      <c r="R76" s="145" t="n">
        <f aca="false">SUM(R72:R75)</f>
        <v>1</v>
      </c>
      <c r="S76" s="147"/>
      <c r="T76" s="106"/>
      <c r="U76" s="56"/>
    </row>
    <row r="77" customFormat="false" ht="20.1" hidden="false" customHeight="true" outlineLevel="0" collapsed="false">
      <c r="B77" s="56"/>
      <c r="C77" s="106"/>
      <c r="D77" s="106"/>
      <c r="E77" s="106"/>
      <c r="F77" s="148"/>
      <c r="G77" s="148"/>
      <c r="H77" s="108"/>
      <c r="I77" s="106"/>
      <c r="J77" s="106"/>
      <c r="K77" s="106"/>
      <c r="L77" s="106"/>
      <c r="M77" s="106"/>
      <c r="N77" s="106"/>
      <c r="O77" s="106"/>
      <c r="P77" s="106"/>
      <c r="Q77" s="106"/>
      <c r="R77" s="106"/>
      <c r="S77" s="106"/>
      <c r="T77" s="106"/>
      <c r="U77" s="56"/>
    </row>
    <row r="78" customFormat="false" ht="20.1" hidden="false" customHeight="true" outlineLevel="0" collapsed="false">
      <c r="B78" s="56"/>
      <c r="U78" s="56"/>
    </row>
    <row r="79" customFormat="false" ht="20.1" hidden="false" customHeight="true" outlineLevel="0" collapsed="false">
      <c r="B79" s="56"/>
      <c r="C79" s="149"/>
      <c r="D79" s="149"/>
      <c r="E79" s="150" t="str">
        <f aca="false">IF(OR(M30="-",M30= ""),H30,M30)</f>
        <v>Nippon</v>
      </c>
      <c r="F79" s="150"/>
      <c r="G79" s="150"/>
      <c r="H79" s="150"/>
      <c r="I79" s="150"/>
      <c r="J79" s="150"/>
      <c r="K79" s="150"/>
      <c r="L79" s="150"/>
      <c r="M79" s="150"/>
      <c r="N79" s="150"/>
      <c r="O79" s="151"/>
      <c r="P79" s="151"/>
      <c r="Q79" s="151"/>
      <c r="R79" s="151"/>
      <c r="S79" s="151"/>
      <c r="T79" s="149"/>
      <c r="U79" s="56"/>
    </row>
    <row r="80" customFormat="false" ht="50.1" hidden="false" customHeight="true" outlineLevel="0" collapsed="false">
      <c r="B80" s="56"/>
      <c r="C80" s="149"/>
      <c r="D80" s="151"/>
      <c r="E80" s="59" t="s">
        <v>48</v>
      </c>
      <c r="F80" s="109" t="s">
        <v>80</v>
      </c>
      <c r="G80" s="61" t="s">
        <v>81</v>
      </c>
      <c r="H80" s="60" t="s">
        <v>82</v>
      </c>
      <c r="I80" s="6" t="s">
        <v>83</v>
      </c>
      <c r="J80" s="60" t="s">
        <v>84</v>
      </c>
      <c r="K80" s="110" t="s">
        <v>85</v>
      </c>
      <c r="L80" s="60" t="s">
        <v>86</v>
      </c>
      <c r="M80" s="111" t="s">
        <v>87</v>
      </c>
      <c r="N80" s="61" t="s">
        <v>88</v>
      </c>
      <c r="O80" s="112" t="s">
        <v>89</v>
      </c>
      <c r="P80" s="113" t="s">
        <v>90</v>
      </c>
      <c r="Q80" s="113" t="s">
        <v>91</v>
      </c>
      <c r="R80" s="113" t="s">
        <v>92</v>
      </c>
      <c r="S80" s="151"/>
      <c r="T80" s="149"/>
      <c r="U80" s="56"/>
    </row>
    <row r="81" customFormat="false" ht="20.1" hidden="false" customHeight="true" outlineLevel="0" collapsed="false">
      <c r="B81" s="56"/>
      <c r="C81" s="149"/>
      <c r="D81" s="149"/>
      <c r="E81" s="348" t="s">
        <v>37</v>
      </c>
      <c r="F81" s="16" t="s">
        <v>38</v>
      </c>
      <c r="G81" s="114" t="n">
        <v>2</v>
      </c>
      <c r="H81" s="114" t="s">
        <v>62</v>
      </c>
      <c r="I81" s="114" t="n">
        <v>0</v>
      </c>
      <c r="J81" s="114" t="n">
        <v>160</v>
      </c>
      <c r="K81" s="114" t="s">
        <v>62</v>
      </c>
      <c r="L81" s="115" t="n">
        <f aca="false">IF(J81="",0,(J81/J85)*100)</f>
        <v>74.0740740740741</v>
      </c>
      <c r="M81" s="114" t="n">
        <v>2</v>
      </c>
      <c r="N81" s="20" t="n">
        <v>3</v>
      </c>
      <c r="O81" s="116" t="n">
        <f aca="false">IF(M81=1,1,0)</f>
        <v>0</v>
      </c>
      <c r="P81" s="117" t="n">
        <f aca="false">IF(M81=2,1,0)</f>
        <v>1</v>
      </c>
      <c r="Q81" s="117" t="n">
        <f aca="false">IF(M81=3,1,0)</f>
        <v>0</v>
      </c>
      <c r="R81" s="118" t="n">
        <f aca="false">IF(M81=4,1,0)</f>
        <v>0</v>
      </c>
      <c r="S81" s="152"/>
      <c r="T81" s="149"/>
      <c r="U81" s="56"/>
    </row>
    <row r="82" customFormat="false" ht="20.1" hidden="false" customHeight="true" outlineLevel="0" collapsed="false">
      <c r="B82" s="56"/>
      <c r="C82" s="149"/>
      <c r="D82" s="153"/>
      <c r="E82" s="126" t="s">
        <v>17</v>
      </c>
      <c r="F82" s="127" t="s">
        <v>18</v>
      </c>
      <c r="G82" s="128" t="n">
        <v>3</v>
      </c>
      <c r="H82" s="128" t="s">
        <v>62</v>
      </c>
      <c r="I82" s="128" t="n">
        <v>0</v>
      </c>
      <c r="J82" s="128" t="n">
        <v>216</v>
      </c>
      <c r="K82" s="128" t="s">
        <v>62</v>
      </c>
      <c r="L82" s="129" t="n">
        <f aca="false">IF(J82="",0,(J82/J85)*100)</f>
        <v>100</v>
      </c>
      <c r="M82" s="128" t="n">
        <v>1</v>
      </c>
      <c r="N82" s="130" t="n">
        <v>6</v>
      </c>
      <c r="O82" s="123" t="n">
        <f aca="false">IF(M82=1,1,0)</f>
        <v>1</v>
      </c>
      <c r="P82" s="124" t="n">
        <f aca="false">IF(M82=2,1,0)</f>
        <v>0</v>
      </c>
      <c r="Q82" s="124" t="n">
        <f aca="false">IF(M82=3,1,0)</f>
        <v>0</v>
      </c>
      <c r="R82" s="125" t="n">
        <f aca="false">IF(M82=4,1,0)</f>
        <v>0</v>
      </c>
      <c r="S82" s="152"/>
      <c r="T82" s="149"/>
      <c r="U82" s="56"/>
    </row>
    <row r="83" customFormat="false" ht="20.1" hidden="false" customHeight="true" outlineLevel="0" collapsed="false">
      <c r="B83" s="56"/>
      <c r="C83" s="149"/>
      <c r="D83" s="149"/>
      <c r="E83" s="120" t="s">
        <v>15</v>
      </c>
      <c r="F83" s="23" t="s">
        <v>16</v>
      </c>
      <c r="G83" s="121" t="n">
        <v>1</v>
      </c>
      <c r="H83" s="121" t="s">
        <v>62</v>
      </c>
      <c r="I83" s="121" t="n">
        <v>0</v>
      </c>
      <c r="J83" s="121" t="n">
        <v>151</v>
      </c>
      <c r="K83" s="121" t="s">
        <v>62</v>
      </c>
      <c r="L83" s="122" t="n">
        <f aca="false">IF(J83="",0,(J83/J85)*100)</f>
        <v>69.9074074074074</v>
      </c>
      <c r="M83" s="121" t="n">
        <v>3</v>
      </c>
      <c r="N83" s="26" t="n">
        <v>1</v>
      </c>
      <c r="O83" s="123" t="n">
        <f aca="false">IF(M83=1,1,0)</f>
        <v>0</v>
      </c>
      <c r="P83" s="124" t="n">
        <f aca="false">IF(M83=2,1,0)</f>
        <v>0</v>
      </c>
      <c r="Q83" s="124" t="n">
        <f aca="false">IF(M83=3,1,0)</f>
        <v>1</v>
      </c>
      <c r="R83" s="125" t="n">
        <f aca="false">IF(M83=4,1,0)</f>
        <v>0</v>
      </c>
      <c r="S83" s="152"/>
      <c r="T83" s="149"/>
      <c r="U83" s="56"/>
    </row>
    <row r="84" customFormat="false" ht="27.95" hidden="false" customHeight="true" outlineLevel="0" collapsed="false">
      <c r="B84" s="56"/>
      <c r="C84" s="149"/>
      <c r="D84" s="149"/>
      <c r="E84" s="97" t="s">
        <v>20</v>
      </c>
      <c r="F84" s="132" t="s">
        <v>21</v>
      </c>
      <c r="G84" s="133" t="n">
        <v>4</v>
      </c>
      <c r="H84" s="133" t="s">
        <v>62</v>
      </c>
      <c r="I84" s="133" t="n">
        <v>0</v>
      </c>
      <c r="J84" s="133" t="n">
        <v>138</v>
      </c>
      <c r="K84" s="133" t="s">
        <v>62</v>
      </c>
      <c r="L84" s="134" t="n">
        <f aca="false">IF(J84="",0,(J84/J85)*100)</f>
        <v>63.8888888888889</v>
      </c>
      <c r="M84" s="133" t="n">
        <v>4</v>
      </c>
      <c r="N84" s="44" t="n">
        <v>0</v>
      </c>
      <c r="O84" s="135" t="n">
        <f aca="false">IF(M84=1,1,0)</f>
        <v>0</v>
      </c>
      <c r="P84" s="136" t="n">
        <f aca="false">IF(M84=2,1,0)</f>
        <v>0</v>
      </c>
      <c r="Q84" s="136" t="n">
        <f aca="false">IF(M84=3,1,0)</f>
        <v>0</v>
      </c>
      <c r="R84" s="137" t="n">
        <f aca="false">IF(M84=4,1,0)</f>
        <v>1</v>
      </c>
      <c r="S84" s="152"/>
      <c r="T84" s="149"/>
      <c r="U84" s="56"/>
    </row>
    <row r="85" customFormat="false" ht="20.1" hidden="true" customHeight="true" outlineLevel="1" collapsed="false">
      <c r="B85" s="56"/>
      <c r="C85" s="149"/>
      <c r="D85" s="149"/>
      <c r="E85" s="149"/>
      <c r="F85" s="155"/>
      <c r="G85" s="155"/>
      <c r="H85" s="149"/>
      <c r="I85" s="156" t="s">
        <v>94</v>
      </c>
      <c r="J85" s="141" t="n">
        <f aca="false">MAX(J81:J84)</f>
        <v>216</v>
      </c>
      <c r="K85" s="157"/>
      <c r="L85" s="152"/>
      <c r="M85" s="149"/>
      <c r="N85" s="144" t="s">
        <v>95</v>
      </c>
      <c r="O85" s="145" t="n">
        <f aca="false">SUM(O81:O84)</f>
        <v>1</v>
      </c>
      <c r="P85" s="146" t="n">
        <f aca="false">SUM(P81:P84)</f>
        <v>1</v>
      </c>
      <c r="Q85" s="145" t="n">
        <f aca="false">SUM(Q81:Q84)</f>
        <v>1</v>
      </c>
      <c r="R85" s="158" t="n">
        <f aca="false">SUM(R81:R84)</f>
        <v>1</v>
      </c>
      <c r="S85" s="159"/>
      <c r="T85" s="149"/>
      <c r="U85" s="56"/>
    </row>
    <row r="86" customFormat="false" ht="20.1" hidden="false" customHeight="true" outlineLevel="0" collapsed="false">
      <c r="B86" s="56"/>
      <c r="C86" s="149"/>
      <c r="D86" s="149"/>
      <c r="E86" s="149"/>
      <c r="F86" s="149"/>
      <c r="G86" s="149"/>
      <c r="H86" s="149"/>
      <c r="I86" s="149"/>
      <c r="J86" s="149"/>
      <c r="K86" s="149"/>
      <c r="L86" s="149"/>
      <c r="M86" s="149"/>
      <c r="N86" s="149"/>
      <c r="O86" s="149"/>
      <c r="P86" s="149"/>
      <c r="Q86" s="149"/>
      <c r="R86" s="149"/>
      <c r="S86" s="149"/>
      <c r="T86" s="149"/>
      <c r="U86" s="56"/>
    </row>
    <row r="87" customFormat="false" ht="20.1" hidden="false" customHeight="true" outlineLevel="0" collapsed="false">
      <c r="B87" s="56"/>
      <c r="D87" s="45"/>
      <c r="E87" s="45"/>
      <c r="F87" s="45"/>
      <c r="G87" s="45"/>
      <c r="H87" s="160"/>
      <c r="I87" s="45"/>
      <c r="J87" s="45"/>
      <c r="U87" s="56"/>
    </row>
    <row r="88" customFormat="false" ht="20.1" hidden="false" customHeight="true" outlineLevel="0" collapsed="false">
      <c r="B88" s="56"/>
      <c r="C88" s="161"/>
      <c r="D88" s="161"/>
      <c r="E88" s="162" t="str">
        <f aca="false">IF(OR(M32="-",M32= ""),H32,M32)</f>
        <v>Wasserkraft</v>
      </c>
      <c r="F88" s="162"/>
      <c r="G88" s="162"/>
      <c r="H88" s="162"/>
      <c r="I88" s="162"/>
      <c r="J88" s="162"/>
      <c r="K88" s="162"/>
      <c r="L88" s="162"/>
      <c r="M88" s="162"/>
      <c r="N88" s="162"/>
      <c r="O88" s="163"/>
      <c r="P88" s="163"/>
      <c r="Q88" s="163"/>
      <c r="R88" s="163"/>
      <c r="S88" s="163"/>
      <c r="T88" s="161"/>
      <c r="U88" s="164"/>
      <c r="V88" s="165"/>
      <c r="W88" s="165"/>
    </row>
    <row r="89" customFormat="false" ht="50.1" hidden="false" customHeight="true" outlineLevel="0" collapsed="false">
      <c r="B89" s="56"/>
      <c r="C89" s="161"/>
      <c r="D89" s="163"/>
      <c r="E89" s="59" t="s">
        <v>48</v>
      </c>
      <c r="F89" s="109" t="s">
        <v>80</v>
      </c>
      <c r="G89" s="61" t="s">
        <v>81</v>
      </c>
      <c r="H89" s="60" t="s">
        <v>82</v>
      </c>
      <c r="I89" s="6" t="s">
        <v>83</v>
      </c>
      <c r="J89" s="60" t="s">
        <v>84</v>
      </c>
      <c r="K89" s="110" t="s">
        <v>85</v>
      </c>
      <c r="L89" s="60" t="s">
        <v>86</v>
      </c>
      <c r="M89" s="111" t="s">
        <v>87</v>
      </c>
      <c r="N89" s="61" t="s">
        <v>88</v>
      </c>
      <c r="O89" s="112" t="s">
        <v>89</v>
      </c>
      <c r="P89" s="113" t="s">
        <v>90</v>
      </c>
      <c r="Q89" s="113" t="s">
        <v>91</v>
      </c>
      <c r="R89" s="12" t="s">
        <v>92</v>
      </c>
      <c r="S89" s="163"/>
      <c r="T89" s="161"/>
      <c r="U89" s="164"/>
      <c r="V89" s="165"/>
      <c r="W89" s="165"/>
    </row>
    <row r="90" customFormat="false" ht="27.95" hidden="false" customHeight="true" outlineLevel="0" collapsed="false">
      <c r="B90" s="56"/>
      <c r="C90" s="161"/>
      <c r="D90" s="161"/>
      <c r="E90" s="348" t="s">
        <v>37</v>
      </c>
      <c r="F90" s="16" t="s">
        <v>38</v>
      </c>
      <c r="G90" s="114" t="n">
        <v>2</v>
      </c>
      <c r="H90" s="426" t="s">
        <v>337</v>
      </c>
      <c r="I90" s="114" t="n">
        <v>10</v>
      </c>
      <c r="J90" s="114" t="n">
        <v>67</v>
      </c>
      <c r="K90" s="114" t="s">
        <v>62</v>
      </c>
      <c r="L90" s="115" t="n">
        <f aca="false">IF(J90="",0,(J90/J94)*100)</f>
        <v>56.7796610169492</v>
      </c>
      <c r="M90" s="114" t="n">
        <v>4</v>
      </c>
      <c r="N90" s="20" t="n">
        <v>0</v>
      </c>
      <c r="O90" s="116" t="n">
        <f aca="false">IF(M90=1,1,0)</f>
        <v>0</v>
      </c>
      <c r="P90" s="117" t="n">
        <f aca="false">IF(M90=2,1,0)</f>
        <v>0</v>
      </c>
      <c r="Q90" s="117" t="n">
        <f aca="false">IF(M90=3,1,0)</f>
        <v>0</v>
      </c>
      <c r="R90" s="118" t="n">
        <f aca="false">IF(M90=4,1,0)</f>
        <v>1</v>
      </c>
      <c r="S90" s="166"/>
      <c r="T90" s="161"/>
      <c r="U90" s="56"/>
    </row>
    <row r="91" customFormat="false" ht="27.95" hidden="false" customHeight="true" outlineLevel="0" collapsed="false">
      <c r="B91" s="56"/>
      <c r="C91" s="161"/>
      <c r="D91" s="167"/>
      <c r="E91" s="126" t="s">
        <v>17</v>
      </c>
      <c r="F91" s="127" t="s">
        <v>18</v>
      </c>
      <c r="G91" s="128" t="n">
        <v>4</v>
      </c>
      <c r="H91" s="305" t="s">
        <v>338</v>
      </c>
      <c r="I91" s="128" t="n">
        <v>10</v>
      </c>
      <c r="J91" s="128" t="n">
        <v>118</v>
      </c>
      <c r="K91" s="128" t="s">
        <v>62</v>
      </c>
      <c r="L91" s="129" t="n">
        <f aca="false">IF(J91="",0,(J91/J94)*100)</f>
        <v>100</v>
      </c>
      <c r="M91" s="128" t="n">
        <v>1</v>
      </c>
      <c r="N91" s="130" t="n">
        <v>6</v>
      </c>
      <c r="O91" s="123" t="n">
        <f aca="false">IF(M91=1,1,0)</f>
        <v>1</v>
      </c>
      <c r="P91" s="124" t="n">
        <f aca="false">IF(M91=2,1,0)</f>
        <v>0</v>
      </c>
      <c r="Q91" s="124" t="n">
        <f aca="false">IF(M91=3,1,0)</f>
        <v>0</v>
      </c>
      <c r="R91" s="125" t="n">
        <f aca="false">IF(M91=4,1,0)</f>
        <v>0</v>
      </c>
      <c r="S91" s="166"/>
      <c r="T91" s="161"/>
      <c r="U91" s="168"/>
    </row>
    <row r="92" customFormat="false" ht="27.95" hidden="false" customHeight="true" outlineLevel="0" collapsed="false">
      <c r="B92" s="56"/>
      <c r="C92" s="161"/>
      <c r="D92" s="161"/>
      <c r="E92" s="120" t="s">
        <v>15</v>
      </c>
      <c r="F92" s="23" t="s">
        <v>16</v>
      </c>
      <c r="G92" s="121" t="n">
        <v>1</v>
      </c>
      <c r="H92" s="427" t="s">
        <v>339</v>
      </c>
      <c r="I92" s="121" t="n">
        <v>10</v>
      </c>
      <c r="J92" s="121" t="n">
        <v>68</v>
      </c>
      <c r="K92" s="121" t="s">
        <v>62</v>
      </c>
      <c r="L92" s="122" t="n">
        <f aca="false">IF(J92="",0,(J92/J94)*100)</f>
        <v>57.6271186440678</v>
      </c>
      <c r="M92" s="121" t="n">
        <v>3</v>
      </c>
      <c r="N92" s="26" t="n">
        <v>1</v>
      </c>
      <c r="O92" s="123" t="n">
        <f aca="false">IF(M92=1,1,0)</f>
        <v>0</v>
      </c>
      <c r="P92" s="124" t="n">
        <f aca="false">IF(M92=2,1,0)</f>
        <v>0</v>
      </c>
      <c r="Q92" s="124" t="n">
        <f aca="false">IF(M92=3,1,0)</f>
        <v>1</v>
      </c>
      <c r="R92" s="125" t="n">
        <f aca="false">IF(M92=4,1,0)</f>
        <v>0</v>
      </c>
      <c r="S92" s="166"/>
      <c r="T92" s="161"/>
      <c r="U92" s="168"/>
    </row>
    <row r="93" customFormat="false" ht="27.95" hidden="false" customHeight="true" outlineLevel="0" collapsed="false">
      <c r="B93" s="56"/>
      <c r="C93" s="161"/>
      <c r="D93" s="161"/>
      <c r="E93" s="97" t="s">
        <v>20</v>
      </c>
      <c r="F93" s="132" t="s">
        <v>21</v>
      </c>
      <c r="G93" s="133" t="n">
        <v>3</v>
      </c>
      <c r="H93" s="154" t="s">
        <v>340</v>
      </c>
      <c r="I93" s="133" t="n">
        <v>10</v>
      </c>
      <c r="J93" s="133" t="n">
        <v>89</v>
      </c>
      <c r="K93" s="133" t="s">
        <v>62</v>
      </c>
      <c r="L93" s="134" t="n">
        <f aca="false">IF(J93="",0,(J93/J94)*100)</f>
        <v>75.4237288135593</v>
      </c>
      <c r="M93" s="133" t="n">
        <v>2</v>
      </c>
      <c r="N93" s="44" t="n">
        <v>3</v>
      </c>
      <c r="O93" s="135" t="n">
        <f aca="false">IF(M93=1,1,0)</f>
        <v>0</v>
      </c>
      <c r="P93" s="136" t="n">
        <f aca="false">IF(M93=2,1,0)</f>
        <v>1</v>
      </c>
      <c r="Q93" s="136" t="n">
        <f aca="false">IF(M93=3,1,0)</f>
        <v>0</v>
      </c>
      <c r="R93" s="137" t="n">
        <f aca="false">IF(M93=4,1,0)</f>
        <v>0</v>
      </c>
      <c r="S93" s="166"/>
      <c r="T93" s="161"/>
      <c r="U93" s="168"/>
    </row>
    <row r="94" customFormat="false" ht="20.1" hidden="true" customHeight="true" outlineLevel="1" collapsed="false">
      <c r="B94" s="56"/>
      <c r="C94" s="161"/>
      <c r="D94" s="161"/>
      <c r="E94" s="161"/>
      <c r="F94" s="169"/>
      <c r="G94" s="169"/>
      <c r="H94" s="161"/>
      <c r="I94" s="170" t="s">
        <v>94</v>
      </c>
      <c r="J94" s="141" t="n">
        <f aca="false">MAX(J90:J93)</f>
        <v>118</v>
      </c>
      <c r="K94" s="171"/>
      <c r="L94" s="166"/>
      <c r="M94" s="161"/>
      <c r="N94" s="144"/>
      <c r="O94" s="145" t="n">
        <f aca="false">SUM(O90:O93)</f>
        <v>1</v>
      </c>
      <c r="P94" s="146" t="n">
        <f aca="false">SUM(P90:P93)</f>
        <v>1</v>
      </c>
      <c r="Q94" s="145" t="n">
        <f aca="false">SUM(Q90:Q93)</f>
        <v>1</v>
      </c>
      <c r="R94" s="158" t="n">
        <f aca="false">SUM(R90:R93)</f>
        <v>1</v>
      </c>
      <c r="S94" s="172"/>
      <c r="T94" s="161"/>
      <c r="U94" s="168"/>
    </row>
    <row r="95" customFormat="false" ht="20.1" hidden="false" customHeight="true" outlineLevel="0" collapsed="false">
      <c r="B95" s="56"/>
      <c r="C95" s="161"/>
      <c r="D95" s="161"/>
      <c r="E95" s="161"/>
      <c r="F95" s="161"/>
      <c r="G95" s="161"/>
      <c r="H95" s="161"/>
      <c r="I95" s="161"/>
      <c r="J95" s="161"/>
      <c r="K95" s="161"/>
      <c r="L95" s="161"/>
      <c r="M95" s="161"/>
      <c r="N95" s="161"/>
      <c r="O95" s="161"/>
      <c r="P95" s="161"/>
      <c r="Q95" s="161"/>
      <c r="R95" s="161"/>
      <c r="S95" s="161"/>
      <c r="T95" s="161"/>
      <c r="U95" s="168"/>
    </row>
    <row r="96" customFormat="false" ht="20.1" hidden="false" customHeight="true" outlineLevel="0" collapsed="false">
      <c r="B96" s="56"/>
      <c r="D96" s="45"/>
      <c r="E96" s="45"/>
      <c r="F96" s="45"/>
      <c r="G96" s="45"/>
      <c r="H96" s="160"/>
      <c r="I96" s="45"/>
      <c r="J96" s="45"/>
      <c r="K96" s="45"/>
      <c r="U96" s="56"/>
    </row>
    <row r="97" customFormat="false" ht="20.1" hidden="false" customHeight="true" outlineLevel="0" collapsed="false">
      <c r="B97" s="56"/>
      <c r="C97" s="173"/>
      <c r="D97" s="173"/>
      <c r="E97" s="174" t="str">
        <f aca="false">IF(OR(M37="-",M37= ""),H37,M37)</f>
        <v>Terraforming Mars</v>
      </c>
      <c r="F97" s="174"/>
      <c r="G97" s="174"/>
      <c r="H97" s="174"/>
      <c r="I97" s="174"/>
      <c r="J97" s="174"/>
      <c r="K97" s="174"/>
      <c r="L97" s="174"/>
      <c r="M97" s="174"/>
      <c r="N97" s="174"/>
      <c r="O97" s="175"/>
      <c r="P97" s="175"/>
      <c r="Q97" s="175"/>
      <c r="R97" s="175"/>
      <c r="S97" s="175"/>
      <c r="T97" s="173"/>
      <c r="U97" s="56"/>
    </row>
    <row r="98" customFormat="false" ht="50.1" hidden="false" customHeight="true" outlineLevel="0" collapsed="false">
      <c r="B98" s="56"/>
      <c r="C98" s="173"/>
      <c r="D98" s="175"/>
      <c r="E98" s="59" t="s">
        <v>48</v>
      </c>
      <c r="F98" s="109" t="s">
        <v>80</v>
      </c>
      <c r="G98" s="61" t="s">
        <v>81</v>
      </c>
      <c r="H98" s="60" t="s">
        <v>82</v>
      </c>
      <c r="I98" s="6" t="s">
        <v>83</v>
      </c>
      <c r="J98" s="60" t="s">
        <v>84</v>
      </c>
      <c r="K98" s="110" t="s">
        <v>85</v>
      </c>
      <c r="L98" s="60" t="s">
        <v>86</v>
      </c>
      <c r="M98" s="111" t="s">
        <v>87</v>
      </c>
      <c r="N98" s="61" t="s">
        <v>88</v>
      </c>
      <c r="O98" s="112" t="s">
        <v>89</v>
      </c>
      <c r="P98" s="113" t="s">
        <v>90</v>
      </c>
      <c r="Q98" s="113" t="s">
        <v>91</v>
      </c>
      <c r="R98" s="12" t="s">
        <v>92</v>
      </c>
      <c r="S98" s="175"/>
      <c r="T98" s="173"/>
      <c r="U98" s="56"/>
    </row>
    <row r="99" customFormat="false" ht="20.1" hidden="false" customHeight="true" outlineLevel="0" collapsed="false">
      <c r="B99" s="56"/>
      <c r="C99" s="173"/>
      <c r="D99" s="173"/>
      <c r="E99" s="348" t="s">
        <v>37</v>
      </c>
      <c r="F99" s="16" t="s">
        <v>38</v>
      </c>
      <c r="G99" s="114" t="n">
        <v>1</v>
      </c>
      <c r="H99" s="114" t="s">
        <v>341</v>
      </c>
      <c r="I99" s="114" t="n">
        <v>20</v>
      </c>
      <c r="J99" s="114" t="n">
        <v>60</v>
      </c>
      <c r="K99" s="114" t="s">
        <v>62</v>
      </c>
      <c r="L99" s="115" t="n">
        <f aca="false">IF(J99="",0,(J99/J103)*100)</f>
        <v>69.7674418604651</v>
      </c>
      <c r="M99" s="114" t="n">
        <v>3</v>
      </c>
      <c r="N99" s="20" t="n">
        <v>1</v>
      </c>
      <c r="O99" s="116" t="n">
        <f aca="false">IF(M99=1,1,0)</f>
        <v>0</v>
      </c>
      <c r="P99" s="117" t="n">
        <f aca="false">IF(M99=2,1,0)</f>
        <v>0</v>
      </c>
      <c r="Q99" s="117" t="n">
        <f aca="false">IF(M99=3,1,0)</f>
        <v>1</v>
      </c>
      <c r="R99" s="118" t="n">
        <f aca="false">IF(M99=4,1,0)</f>
        <v>0</v>
      </c>
      <c r="S99" s="176"/>
      <c r="T99" s="173"/>
      <c r="U99" s="56"/>
    </row>
    <row r="100" customFormat="false" ht="20.1" hidden="false" customHeight="true" outlineLevel="0" collapsed="false">
      <c r="B100" s="56"/>
      <c r="C100" s="173"/>
      <c r="D100" s="173"/>
      <c r="E100" s="120" t="s">
        <v>17</v>
      </c>
      <c r="F100" s="23" t="s">
        <v>18</v>
      </c>
      <c r="G100" s="121" t="n">
        <v>2</v>
      </c>
      <c r="H100" s="121" t="s">
        <v>342</v>
      </c>
      <c r="I100" s="121" t="n">
        <v>20</v>
      </c>
      <c r="J100" s="121" t="n">
        <v>67</v>
      </c>
      <c r="K100" s="121" t="s">
        <v>62</v>
      </c>
      <c r="L100" s="122" t="n">
        <f aca="false">IF(J100="",0,(J100/J103)*100)</f>
        <v>77.9069767441861</v>
      </c>
      <c r="M100" s="121" t="n">
        <v>2</v>
      </c>
      <c r="N100" s="26" t="n">
        <v>3</v>
      </c>
      <c r="O100" s="123" t="n">
        <f aca="false">IF(M100=1,1,0)</f>
        <v>0</v>
      </c>
      <c r="P100" s="124" t="n">
        <f aca="false">IF(M100=2,1,0)</f>
        <v>1</v>
      </c>
      <c r="Q100" s="124" t="n">
        <f aca="false">IF(M100=3,1,0)</f>
        <v>0</v>
      </c>
      <c r="R100" s="125" t="n">
        <f aca="false">IF(M100=4,1,0)</f>
        <v>0</v>
      </c>
      <c r="S100" s="176"/>
      <c r="T100" s="173"/>
      <c r="U100" s="56"/>
    </row>
    <row r="101" customFormat="false" ht="20.1" hidden="false" customHeight="true" outlineLevel="0" collapsed="false">
      <c r="B101" s="56"/>
      <c r="C101" s="173"/>
      <c r="D101" s="173"/>
      <c r="E101" s="120" t="s">
        <v>15</v>
      </c>
      <c r="F101" s="23" t="s">
        <v>16</v>
      </c>
      <c r="G101" s="121" t="n">
        <v>4</v>
      </c>
      <c r="H101" s="121" t="s">
        <v>343</v>
      </c>
      <c r="I101" s="121" t="n">
        <v>20</v>
      </c>
      <c r="J101" s="121" t="n">
        <v>45</v>
      </c>
      <c r="K101" s="121" t="s">
        <v>62</v>
      </c>
      <c r="L101" s="122" t="n">
        <f aca="false">IF(J101="",0,(J101/J103)*100)</f>
        <v>52.3255813953488</v>
      </c>
      <c r="M101" s="121" t="n">
        <v>4</v>
      </c>
      <c r="N101" s="26" t="n">
        <v>0</v>
      </c>
      <c r="O101" s="123" t="n">
        <f aca="false">IF(M101=1,1,0)</f>
        <v>0</v>
      </c>
      <c r="P101" s="124" t="n">
        <f aca="false">IF(M101=2,1,0)</f>
        <v>0</v>
      </c>
      <c r="Q101" s="124" t="n">
        <f aca="false">IF(M101=3,1,0)</f>
        <v>0</v>
      </c>
      <c r="R101" s="125" t="n">
        <f aca="false">IF(M101=4,1,0)</f>
        <v>1</v>
      </c>
      <c r="S101" s="176"/>
      <c r="T101" s="173"/>
      <c r="U101" s="56"/>
    </row>
    <row r="102" customFormat="false" ht="20.1" hidden="false" customHeight="true" outlineLevel="0" collapsed="false">
      <c r="B102" s="56"/>
      <c r="C102" s="173"/>
      <c r="D102" s="177"/>
      <c r="E102" s="340" t="s">
        <v>20</v>
      </c>
      <c r="F102" s="262" t="s">
        <v>21</v>
      </c>
      <c r="G102" s="263" t="n">
        <v>3</v>
      </c>
      <c r="H102" s="263" t="s">
        <v>344</v>
      </c>
      <c r="I102" s="263" t="n">
        <v>20</v>
      </c>
      <c r="J102" s="263" t="n">
        <v>86</v>
      </c>
      <c r="K102" s="263" t="s">
        <v>62</v>
      </c>
      <c r="L102" s="265" t="n">
        <f aca="false">IF(J102="",0,(J102/J103)*100)</f>
        <v>100</v>
      </c>
      <c r="M102" s="263" t="n">
        <v>1</v>
      </c>
      <c r="N102" s="266" t="n">
        <v>6</v>
      </c>
      <c r="O102" s="135" t="n">
        <f aca="false">IF(M102=1,1,0)</f>
        <v>1</v>
      </c>
      <c r="P102" s="136" t="n">
        <f aca="false">IF(M102=2,1,0)</f>
        <v>0</v>
      </c>
      <c r="Q102" s="136" t="n">
        <f aca="false">IF(M102=3,1,0)</f>
        <v>0</v>
      </c>
      <c r="R102" s="137" t="n">
        <f aca="false">IF(M102=4,1,0)</f>
        <v>0</v>
      </c>
      <c r="S102" s="176"/>
      <c r="T102" s="173"/>
      <c r="U102" s="56"/>
    </row>
    <row r="103" customFormat="false" ht="20.1" hidden="true" customHeight="true" outlineLevel="1" collapsed="false">
      <c r="B103" s="56"/>
      <c r="C103" s="173"/>
      <c r="D103" s="173"/>
      <c r="E103" s="173"/>
      <c r="F103" s="178"/>
      <c r="G103" s="178"/>
      <c r="H103" s="173"/>
      <c r="I103" s="156" t="s">
        <v>94</v>
      </c>
      <c r="J103" s="141" t="n">
        <f aca="false">MAX(J99:J102)</f>
        <v>86</v>
      </c>
      <c r="K103" s="179"/>
      <c r="L103" s="176"/>
      <c r="M103" s="173"/>
      <c r="N103" s="144" t="s">
        <v>95</v>
      </c>
      <c r="O103" s="145" t="n">
        <f aca="false">SUM(O99:O102)</f>
        <v>1</v>
      </c>
      <c r="P103" s="146" t="n">
        <f aca="false">SUM(P99:P102)</f>
        <v>1</v>
      </c>
      <c r="Q103" s="145" t="n">
        <f aca="false">SUM(Q99:Q102)</f>
        <v>1</v>
      </c>
      <c r="R103" s="158" t="n">
        <f aca="false">SUM(R99:R102)</f>
        <v>1</v>
      </c>
      <c r="S103" s="180"/>
      <c r="T103" s="173"/>
      <c r="U103" s="56"/>
    </row>
    <row r="104" customFormat="false" ht="20.1" hidden="false" customHeight="true" outlineLevel="0" collapsed="false">
      <c r="B104" s="56"/>
      <c r="C104" s="173"/>
      <c r="D104" s="173"/>
      <c r="E104" s="173"/>
      <c r="F104" s="173"/>
      <c r="G104" s="173"/>
      <c r="H104" s="173"/>
      <c r="I104" s="173"/>
      <c r="J104" s="173"/>
      <c r="K104" s="173"/>
      <c r="L104" s="173"/>
      <c r="M104" s="173"/>
      <c r="N104" s="173"/>
      <c r="O104" s="173"/>
      <c r="P104" s="173"/>
      <c r="Q104" s="173"/>
      <c r="R104" s="173"/>
      <c r="S104" s="173"/>
      <c r="T104" s="173"/>
      <c r="U104" s="56"/>
    </row>
    <row r="105" customFormat="false" ht="20.1" hidden="false" customHeight="true" outlineLevel="0" collapsed="false">
      <c r="B105" s="56"/>
      <c r="D105" s="5"/>
      <c r="E105" s="5"/>
      <c r="F105" s="5"/>
      <c r="G105" s="5"/>
      <c r="H105" s="5"/>
      <c r="I105" s="5"/>
      <c r="J105" s="5"/>
      <c r="U105" s="56"/>
    </row>
    <row r="106" customFormat="false" ht="30" hidden="false" customHeight="true" outlineLevel="0" collapsed="false">
      <c r="B106" s="56"/>
      <c r="C106" s="181"/>
      <c r="D106" s="182" t="s">
        <v>100</v>
      </c>
      <c r="E106" s="182"/>
      <c r="F106" s="182"/>
      <c r="G106" s="182"/>
      <c r="H106" s="182"/>
      <c r="I106" s="182"/>
      <c r="J106" s="182"/>
      <c r="K106" s="182"/>
      <c r="L106" s="182"/>
      <c r="M106" s="182"/>
      <c r="N106" s="182"/>
      <c r="O106" s="182"/>
      <c r="P106" s="182"/>
      <c r="Q106" s="182"/>
      <c r="R106" s="182"/>
      <c r="S106" s="182"/>
      <c r="T106" s="181"/>
      <c r="U106" s="56"/>
    </row>
    <row r="107" customFormat="false" ht="50.1" hidden="false" customHeight="true" outlineLevel="0" collapsed="false">
      <c r="B107" s="56"/>
      <c r="C107" s="181"/>
      <c r="D107" s="183" t="s">
        <v>48</v>
      </c>
      <c r="E107" s="184" t="s">
        <v>49</v>
      </c>
      <c r="F107" s="185" t="s">
        <v>88</v>
      </c>
      <c r="G107" s="186" t="s">
        <v>101</v>
      </c>
      <c r="H107" s="187" t="s">
        <v>102</v>
      </c>
      <c r="I107" s="187"/>
      <c r="J107" s="188" t="s">
        <v>103</v>
      </c>
      <c r="K107" s="189" t="s">
        <v>104</v>
      </c>
      <c r="L107" s="185" t="s">
        <v>105</v>
      </c>
      <c r="M107" s="189" t="s">
        <v>106</v>
      </c>
      <c r="N107" s="185" t="s">
        <v>107</v>
      </c>
      <c r="O107" s="190"/>
      <c r="P107" s="191"/>
      <c r="Q107" s="191"/>
      <c r="R107" s="191"/>
      <c r="S107" s="184" t="s">
        <v>108</v>
      </c>
      <c r="T107" s="181"/>
      <c r="U107" s="56"/>
    </row>
    <row r="108" customFormat="false" ht="20.1" hidden="false" customHeight="true" outlineLevel="0" collapsed="false">
      <c r="B108" s="56"/>
      <c r="C108" s="181"/>
      <c r="D108" s="192" t="s">
        <v>17</v>
      </c>
      <c r="E108" s="193" t="s">
        <v>18</v>
      </c>
      <c r="F108" s="194" t="n">
        <f aca="false">(K108*6+L108*3+M108*1+N108*0)</f>
        <v>16</v>
      </c>
      <c r="G108" s="194" t="n">
        <v>0</v>
      </c>
      <c r="H108" s="195" t="s">
        <v>62</v>
      </c>
      <c r="I108" s="195"/>
      <c r="J108" s="194" t="n">
        <f aca="false">F108+G108</f>
        <v>16</v>
      </c>
      <c r="K108" s="194" t="n">
        <v>2</v>
      </c>
      <c r="L108" s="194" t="n">
        <v>1</v>
      </c>
      <c r="M108" s="194" t="n">
        <v>1</v>
      </c>
      <c r="N108" s="194" t="n">
        <v>0</v>
      </c>
      <c r="O108" s="194"/>
      <c r="P108" s="194"/>
      <c r="Q108" s="194"/>
      <c r="R108" s="194"/>
      <c r="S108" s="196" t="n">
        <f aca="false">(L73+L82+L91+L100)/4</f>
        <v>85.3858350951374</v>
      </c>
      <c r="T108" s="181"/>
      <c r="U108" s="56"/>
      <c r="W108" s="197"/>
      <c r="X108" s="197"/>
      <c r="Y108" s="197"/>
      <c r="Z108" s="197"/>
    </row>
    <row r="109" customFormat="false" ht="20.1" hidden="false" customHeight="true" outlineLevel="0" collapsed="false">
      <c r="B109" s="56"/>
      <c r="C109" s="181"/>
      <c r="D109" s="198" t="s">
        <v>20</v>
      </c>
      <c r="E109" s="199" t="s">
        <v>21</v>
      </c>
      <c r="F109" s="200" t="n">
        <f aca="false">(K109*6+L109*3+M109*1+N109*0)</f>
        <v>9</v>
      </c>
      <c r="G109" s="200" t="n">
        <v>0</v>
      </c>
      <c r="H109" s="201" t="s">
        <v>62</v>
      </c>
      <c r="I109" s="201"/>
      <c r="J109" s="200" t="n">
        <f aca="false">F109+G109</f>
        <v>9</v>
      </c>
      <c r="K109" s="200" t="n">
        <v>1</v>
      </c>
      <c r="L109" s="200" t="n">
        <v>1</v>
      </c>
      <c r="M109" s="200" t="n">
        <v>0</v>
      </c>
      <c r="N109" s="200" t="n">
        <v>2</v>
      </c>
      <c r="O109" s="200"/>
      <c r="P109" s="200"/>
      <c r="Q109" s="200"/>
      <c r="R109" s="200"/>
      <c r="S109" s="202" t="n">
        <f aca="false">(L75+L84+L93+L102)/4</f>
        <v>67.7826998801575</v>
      </c>
      <c r="T109" s="181"/>
      <c r="U109" s="56"/>
      <c r="W109" s="203"/>
      <c r="X109" s="203"/>
      <c r="Y109" s="203"/>
      <c r="Z109" s="203"/>
    </row>
    <row r="110" customFormat="false" ht="20.1" hidden="false" customHeight="true" outlineLevel="0" collapsed="false">
      <c r="B110" s="56"/>
      <c r="C110" s="181"/>
      <c r="D110" s="198" t="s">
        <v>15</v>
      </c>
      <c r="E110" s="199" t="s">
        <v>16</v>
      </c>
      <c r="F110" s="200" t="n">
        <f aca="false">(K110*6+L110*3+M110*1+N110*0)</f>
        <v>8</v>
      </c>
      <c r="G110" s="200" t="n">
        <v>0</v>
      </c>
      <c r="H110" s="201" t="s">
        <v>62</v>
      </c>
      <c r="I110" s="201"/>
      <c r="J110" s="200" t="n">
        <f aca="false">F110+G110</f>
        <v>8</v>
      </c>
      <c r="K110" s="200" t="n">
        <v>1</v>
      </c>
      <c r="L110" s="200" t="n">
        <v>0</v>
      </c>
      <c r="M110" s="200" t="n">
        <v>2</v>
      </c>
      <c r="N110" s="200" t="n">
        <v>1</v>
      </c>
      <c r="O110" s="200"/>
      <c r="P110" s="200"/>
      <c r="Q110" s="200"/>
      <c r="R110" s="200"/>
      <c r="S110" s="202" t="n">
        <f aca="false">(L74+L83+L92+L101)/4</f>
        <v>69.965026861706</v>
      </c>
      <c r="T110" s="181"/>
      <c r="U110" s="56"/>
      <c r="W110" s="203"/>
      <c r="X110" s="203"/>
      <c r="Y110" s="203"/>
      <c r="Z110" s="203"/>
    </row>
    <row r="111" customFormat="false" ht="20.1" hidden="false" customHeight="true" outlineLevel="0" collapsed="false">
      <c r="B111" s="56"/>
      <c r="C111" s="181"/>
      <c r="D111" s="204" t="s">
        <v>37</v>
      </c>
      <c r="E111" s="205" t="s">
        <v>38</v>
      </c>
      <c r="F111" s="206" t="n">
        <f aca="false">(K111*6+L111*3+M111*1+N111*0)</f>
        <v>7</v>
      </c>
      <c r="G111" s="206" t="n">
        <v>0</v>
      </c>
      <c r="H111" s="207" t="s">
        <v>62</v>
      </c>
      <c r="I111" s="207"/>
      <c r="J111" s="206" t="n">
        <f aca="false">F111+G111</f>
        <v>7</v>
      </c>
      <c r="K111" s="206" t="n">
        <v>0</v>
      </c>
      <c r="L111" s="206" t="n">
        <v>2</v>
      </c>
      <c r="M111" s="206" t="n">
        <v>1</v>
      </c>
      <c r="N111" s="206" t="n">
        <v>1</v>
      </c>
      <c r="O111" s="206"/>
      <c r="P111" s="206"/>
      <c r="Q111" s="206"/>
      <c r="R111" s="206"/>
      <c r="S111" s="208" t="n">
        <f aca="false">(L72+L81+L90+L99)/4</f>
        <v>70.6098396924175</v>
      </c>
      <c r="T111" s="181"/>
      <c r="U111" s="56"/>
      <c r="W111" s="203"/>
      <c r="X111" s="203"/>
      <c r="Y111" s="203"/>
      <c r="Z111" s="203"/>
      <c r="AB111" s="203"/>
      <c r="AC111" s="203"/>
      <c r="AD111" s="203"/>
      <c r="AE111" s="203"/>
    </row>
    <row r="112" customFormat="false" ht="20.1" hidden="false" customHeight="true" outlineLevel="0" collapsed="false">
      <c r="B112" s="56"/>
      <c r="C112" s="181"/>
      <c r="D112" s="209"/>
      <c r="E112" s="209"/>
      <c r="F112" s="210"/>
      <c r="G112" s="210"/>
      <c r="H112" s="211"/>
      <c r="I112" s="211"/>
      <c r="J112" s="210"/>
      <c r="K112" s="210"/>
      <c r="L112" s="210"/>
      <c r="M112" s="210"/>
      <c r="N112" s="210"/>
      <c r="O112" s="210"/>
      <c r="P112" s="210"/>
      <c r="Q112" s="210"/>
      <c r="R112" s="210"/>
      <c r="S112" s="212"/>
      <c r="T112" s="181"/>
      <c r="U112" s="56"/>
      <c r="W112" s="203"/>
      <c r="X112" s="203"/>
      <c r="Y112" s="203"/>
      <c r="Z112" s="203"/>
    </row>
    <row r="113" customFormat="false" ht="20.1" hidden="false" customHeight="true" outlineLevel="0" collapsed="false">
      <c r="B113" s="56"/>
      <c r="C113" s="56"/>
      <c r="D113" s="213"/>
      <c r="E113" s="213"/>
      <c r="F113" s="164"/>
      <c r="G113" s="164"/>
      <c r="H113" s="213"/>
      <c r="I113" s="213"/>
      <c r="J113" s="213"/>
      <c r="K113" s="56"/>
      <c r="L113" s="56"/>
      <c r="M113" s="56"/>
      <c r="N113" s="56"/>
      <c r="O113" s="56"/>
      <c r="P113" s="56"/>
      <c r="Q113" s="56"/>
      <c r="R113" s="56"/>
      <c r="S113" s="56"/>
      <c r="T113" s="56"/>
      <c r="U113" s="56"/>
    </row>
    <row r="114" customFormat="false" ht="20.1" hidden="false" customHeight="true" outlineLevel="0" collapsed="false">
      <c r="D114" s="214"/>
    </row>
    <row r="115" customFormat="false" ht="20.1" hidden="false" customHeight="true" outlineLevel="0" collapsed="false">
      <c r="D115" s="215"/>
    </row>
    <row r="116" customFormat="false" ht="20.1" hidden="false" customHeight="true" outlineLevel="0" collapsed="false">
      <c r="B116" s="56"/>
      <c r="C116" s="56"/>
      <c r="D116" s="57"/>
      <c r="E116" s="57"/>
      <c r="F116" s="57"/>
      <c r="G116" s="57"/>
      <c r="H116" s="56"/>
      <c r="I116" s="56"/>
      <c r="J116" s="56"/>
      <c r="K116" s="56"/>
      <c r="L116" s="56"/>
      <c r="M116" s="56"/>
      <c r="N116" s="56"/>
      <c r="O116" s="56"/>
      <c r="P116" s="56"/>
      <c r="Q116" s="56"/>
      <c r="R116" s="56"/>
      <c r="S116" s="56"/>
      <c r="T116" s="56"/>
      <c r="U116" s="56"/>
    </row>
    <row r="117" customFormat="false" ht="30" hidden="false" customHeight="true" outlineLevel="0" collapsed="false">
      <c r="B117" s="56"/>
      <c r="C117" s="58" t="s">
        <v>109</v>
      </c>
      <c r="D117" s="58"/>
      <c r="E117" s="58"/>
      <c r="F117" s="58"/>
      <c r="G117" s="58"/>
      <c r="H117" s="58"/>
      <c r="I117" s="58"/>
      <c r="J117" s="58"/>
      <c r="K117" s="58"/>
      <c r="L117" s="58"/>
      <c r="M117" s="58"/>
      <c r="N117" s="58"/>
      <c r="O117" s="58"/>
      <c r="P117" s="58"/>
      <c r="Q117" s="58"/>
      <c r="R117" s="58"/>
      <c r="S117" s="58"/>
      <c r="T117" s="58"/>
      <c r="U117" s="56"/>
    </row>
    <row r="118" customFormat="false" ht="20.1" hidden="false" customHeight="true" outlineLevel="0" collapsed="false">
      <c r="B118" s="56"/>
      <c r="U118" s="56"/>
    </row>
    <row r="119" customFormat="false" ht="20.1" hidden="false" customHeight="true" outlineLevel="0" collapsed="false">
      <c r="B119" s="56"/>
      <c r="D119" s="59" t="s">
        <v>48</v>
      </c>
      <c r="E119" s="60" t="s">
        <v>49</v>
      </c>
      <c r="F119" s="61" t="s">
        <v>10</v>
      </c>
      <c r="G119" s="216" t="s">
        <v>50</v>
      </c>
      <c r="H119" s="216"/>
      <c r="I119" s="216"/>
      <c r="J119" s="216"/>
      <c r="K119" s="60" t="s">
        <v>51</v>
      </c>
      <c r="L119" s="62" t="s">
        <v>52</v>
      </c>
      <c r="M119" s="62"/>
      <c r="N119" s="62"/>
      <c r="O119" s="62"/>
      <c r="P119" s="62"/>
      <c r="Q119" s="62"/>
      <c r="R119" s="62"/>
      <c r="S119" s="62"/>
      <c r="U119" s="56"/>
    </row>
    <row r="120" customFormat="false" ht="20.1" hidden="false" customHeight="true" outlineLevel="0" collapsed="false">
      <c r="B120" s="56"/>
      <c r="D120" s="59"/>
      <c r="E120" s="60"/>
      <c r="F120" s="60"/>
      <c r="G120" s="66" t="s">
        <v>53</v>
      </c>
      <c r="H120" s="65" t="s">
        <v>54</v>
      </c>
      <c r="I120" s="61" t="s">
        <v>55</v>
      </c>
      <c r="J120" s="61"/>
      <c r="K120" s="65" t="s">
        <v>56</v>
      </c>
      <c r="L120" s="217" t="s">
        <v>53</v>
      </c>
      <c r="M120" s="218" t="s">
        <v>57</v>
      </c>
      <c r="N120" s="61" t="s">
        <v>55</v>
      </c>
      <c r="O120" s="61"/>
      <c r="P120" s="61"/>
      <c r="Q120" s="61"/>
      <c r="R120" s="61"/>
      <c r="S120" s="61"/>
      <c r="U120" s="56"/>
    </row>
    <row r="121" customFormat="false" ht="15" hidden="false" customHeight="true" outlineLevel="0" collapsed="false">
      <c r="B121" s="56"/>
      <c r="D121" s="67" t="s">
        <v>11</v>
      </c>
      <c r="E121" s="16" t="s">
        <v>12</v>
      </c>
      <c r="F121" s="20" t="n">
        <v>1</v>
      </c>
      <c r="G121" s="68" t="s">
        <v>162</v>
      </c>
      <c r="H121" s="293" t="s">
        <v>163</v>
      </c>
      <c r="I121" s="70" t="s">
        <v>164</v>
      </c>
      <c r="J121" s="70"/>
      <c r="K121" s="428" t="s">
        <v>75</v>
      </c>
      <c r="L121" s="72" t="s">
        <v>62</v>
      </c>
      <c r="M121" s="73" t="s">
        <v>62</v>
      </c>
      <c r="N121" s="220" t="s">
        <v>62</v>
      </c>
      <c r="O121" s="220"/>
      <c r="P121" s="220"/>
      <c r="Q121" s="220"/>
      <c r="R121" s="220"/>
      <c r="S121" s="220"/>
      <c r="U121" s="56"/>
    </row>
    <row r="122" customFormat="false" ht="15" hidden="false" customHeight="true" outlineLevel="0" collapsed="false">
      <c r="B122" s="56"/>
      <c r="D122" s="67"/>
      <c r="E122" s="16"/>
      <c r="F122" s="20"/>
      <c r="G122" s="68"/>
      <c r="H122" s="293"/>
      <c r="I122" s="75" t="s">
        <v>165</v>
      </c>
      <c r="J122" s="75"/>
      <c r="K122" s="428"/>
      <c r="L122" s="72"/>
      <c r="M122" s="73"/>
      <c r="N122" s="220"/>
      <c r="O122" s="220"/>
      <c r="P122" s="220"/>
      <c r="Q122" s="220"/>
      <c r="R122" s="220"/>
      <c r="S122" s="220"/>
      <c r="U122" s="56"/>
    </row>
    <row r="123" customFormat="false" ht="15" hidden="false" customHeight="true" outlineLevel="0" collapsed="false">
      <c r="B123" s="56"/>
      <c r="D123" s="67"/>
      <c r="E123" s="16"/>
      <c r="F123" s="20"/>
      <c r="G123" s="68"/>
      <c r="H123" s="293"/>
      <c r="I123" s="75" t="s">
        <v>345</v>
      </c>
      <c r="J123" s="75"/>
      <c r="K123" s="428"/>
      <c r="L123" s="72"/>
      <c r="M123" s="73"/>
      <c r="N123" s="220"/>
      <c r="O123" s="220"/>
      <c r="P123" s="220"/>
      <c r="Q123" s="220"/>
      <c r="R123" s="220"/>
      <c r="S123" s="220"/>
      <c r="U123" s="56"/>
    </row>
    <row r="124" customFormat="false" ht="27.95" hidden="false" customHeight="true" outlineLevel="0" collapsed="false">
      <c r="B124" s="56"/>
      <c r="D124" s="67"/>
      <c r="E124" s="16"/>
      <c r="F124" s="20"/>
      <c r="G124" s="68"/>
      <c r="H124" s="293"/>
      <c r="I124" s="75" t="s">
        <v>167</v>
      </c>
      <c r="J124" s="75"/>
      <c r="K124" s="428"/>
      <c r="L124" s="72"/>
      <c r="M124" s="73"/>
      <c r="N124" s="220"/>
      <c r="O124" s="220"/>
      <c r="P124" s="220"/>
      <c r="Q124" s="220"/>
      <c r="R124" s="220"/>
      <c r="S124" s="220"/>
      <c r="U124" s="56"/>
    </row>
    <row r="125" customFormat="false" ht="15" hidden="false" customHeight="true" outlineLevel="0" collapsed="false">
      <c r="B125" s="56"/>
      <c r="D125" s="67"/>
      <c r="E125" s="16"/>
      <c r="F125" s="20"/>
      <c r="G125" s="68"/>
      <c r="H125" s="293"/>
      <c r="I125" s="75" t="s">
        <v>168</v>
      </c>
      <c r="J125" s="75"/>
      <c r="K125" s="428"/>
      <c r="L125" s="72"/>
      <c r="M125" s="73"/>
      <c r="N125" s="220"/>
      <c r="O125" s="220"/>
      <c r="P125" s="220"/>
      <c r="Q125" s="220"/>
      <c r="R125" s="220"/>
      <c r="S125" s="220"/>
      <c r="U125" s="56"/>
    </row>
    <row r="126" customFormat="false" ht="15" hidden="false" customHeight="true" outlineLevel="0" collapsed="false">
      <c r="B126" s="56"/>
      <c r="D126" s="67"/>
      <c r="E126" s="16"/>
      <c r="F126" s="20"/>
      <c r="G126" s="68"/>
      <c r="H126" s="293"/>
      <c r="I126" s="75" t="s">
        <v>169</v>
      </c>
      <c r="J126" s="75"/>
      <c r="K126" s="428"/>
      <c r="L126" s="72"/>
      <c r="M126" s="73"/>
      <c r="N126" s="220"/>
      <c r="O126" s="220"/>
      <c r="P126" s="220"/>
      <c r="Q126" s="220"/>
      <c r="R126" s="220"/>
      <c r="S126" s="220"/>
      <c r="U126" s="56"/>
    </row>
    <row r="127" customFormat="false" ht="15" hidden="false" customHeight="true" outlineLevel="0" collapsed="false">
      <c r="B127" s="56"/>
      <c r="D127" s="67"/>
      <c r="E127" s="16"/>
      <c r="F127" s="20"/>
      <c r="G127" s="68"/>
      <c r="H127" s="293"/>
      <c r="I127" s="75" t="s">
        <v>170</v>
      </c>
      <c r="J127" s="75"/>
      <c r="K127" s="428"/>
      <c r="L127" s="72"/>
      <c r="M127" s="73"/>
      <c r="N127" s="220"/>
      <c r="O127" s="220"/>
      <c r="P127" s="220"/>
      <c r="Q127" s="220"/>
      <c r="R127" s="220"/>
      <c r="S127" s="220"/>
      <c r="U127" s="56"/>
    </row>
    <row r="128" customFormat="false" ht="15" hidden="false" customHeight="true" outlineLevel="0" collapsed="false">
      <c r="B128" s="56"/>
      <c r="D128" s="67"/>
      <c r="E128" s="16"/>
      <c r="F128" s="20"/>
      <c r="G128" s="68"/>
      <c r="H128" s="293"/>
      <c r="I128" s="75" t="s">
        <v>171</v>
      </c>
      <c r="J128" s="75"/>
      <c r="K128" s="428"/>
      <c r="L128" s="72"/>
      <c r="M128" s="73"/>
      <c r="N128" s="220"/>
      <c r="O128" s="220"/>
      <c r="P128" s="220"/>
      <c r="Q128" s="220"/>
      <c r="R128" s="220"/>
      <c r="S128" s="220"/>
      <c r="U128" s="56"/>
    </row>
    <row r="129" customFormat="false" ht="15" hidden="false" customHeight="true" outlineLevel="0" collapsed="false">
      <c r="B129" s="56"/>
      <c r="D129" s="120" t="s">
        <v>26</v>
      </c>
      <c r="E129" s="29" t="s">
        <v>27</v>
      </c>
      <c r="F129" s="26" t="n">
        <v>2</v>
      </c>
      <c r="G129" s="78" t="s">
        <v>58</v>
      </c>
      <c r="H129" s="79" t="s">
        <v>346</v>
      </c>
      <c r="I129" s="80" t="s">
        <v>347</v>
      </c>
      <c r="J129" s="80"/>
      <c r="K129" s="329" t="s">
        <v>113</v>
      </c>
      <c r="L129" s="296" t="s">
        <v>62</v>
      </c>
      <c r="M129" s="83" t="s">
        <v>62</v>
      </c>
      <c r="N129" s="84" t="s">
        <v>62</v>
      </c>
      <c r="O129" s="84"/>
      <c r="P129" s="84"/>
      <c r="Q129" s="84"/>
      <c r="R129" s="84"/>
      <c r="S129" s="84"/>
      <c r="U129" s="56"/>
    </row>
    <row r="130" customFormat="false" ht="15" hidden="false" customHeight="true" outlineLevel="0" collapsed="false">
      <c r="B130" s="56"/>
      <c r="D130" s="120"/>
      <c r="E130" s="29"/>
      <c r="F130" s="26"/>
      <c r="G130" s="78"/>
      <c r="H130" s="79"/>
      <c r="I130" s="85" t="s">
        <v>348</v>
      </c>
      <c r="J130" s="85"/>
      <c r="K130" s="329"/>
      <c r="L130" s="296"/>
      <c r="M130" s="83"/>
      <c r="N130" s="84"/>
      <c r="O130" s="84"/>
      <c r="P130" s="84"/>
      <c r="Q130" s="84"/>
      <c r="R130" s="84"/>
      <c r="S130" s="84"/>
      <c r="U130" s="56"/>
    </row>
    <row r="131" customFormat="false" ht="15" hidden="false" customHeight="true" outlineLevel="0" collapsed="false">
      <c r="B131" s="56"/>
      <c r="D131" s="77" t="s">
        <v>24</v>
      </c>
      <c r="E131" s="23" t="s">
        <v>25</v>
      </c>
      <c r="F131" s="26" t="n">
        <v>3</v>
      </c>
      <c r="G131" s="230" t="s">
        <v>58</v>
      </c>
      <c r="H131" s="330" t="s">
        <v>75</v>
      </c>
      <c r="I131" s="91" t="s">
        <v>76</v>
      </c>
      <c r="J131" s="91"/>
      <c r="K131" s="429" t="s">
        <v>163</v>
      </c>
      <c r="L131" s="296" t="s">
        <v>62</v>
      </c>
      <c r="M131" s="297" t="s">
        <v>62</v>
      </c>
      <c r="N131" s="298" t="s">
        <v>62</v>
      </c>
      <c r="O131" s="298"/>
      <c r="P131" s="298"/>
      <c r="Q131" s="298"/>
      <c r="R131" s="298"/>
      <c r="S131" s="298"/>
      <c r="U131" s="56"/>
    </row>
    <row r="132" customFormat="false" ht="27.95" hidden="false" customHeight="true" outlineLevel="0" collapsed="false">
      <c r="B132" s="56"/>
      <c r="D132" s="77"/>
      <c r="E132" s="23"/>
      <c r="F132" s="26"/>
      <c r="G132" s="230"/>
      <c r="H132" s="330"/>
      <c r="I132" s="96" t="s">
        <v>78</v>
      </c>
      <c r="J132" s="96"/>
      <c r="K132" s="429"/>
      <c r="L132" s="296"/>
      <c r="M132" s="297"/>
      <c r="N132" s="298"/>
      <c r="O132" s="298"/>
      <c r="P132" s="298"/>
      <c r="Q132" s="298"/>
      <c r="R132" s="298"/>
      <c r="S132" s="298"/>
      <c r="U132" s="56"/>
    </row>
    <row r="133" customFormat="false" ht="15" hidden="false" customHeight="true" outlineLevel="0" collapsed="false">
      <c r="B133" s="56"/>
      <c r="D133" s="77"/>
      <c r="E133" s="23"/>
      <c r="F133" s="26"/>
      <c r="G133" s="230"/>
      <c r="H133" s="330"/>
      <c r="I133" s="324" t="s">
        <v>79</v>
      </c>
      <c r="J133" s="324"/>
      <c r="K133" s="429"/>
      <c r="L133" s="296"/>
      <c r="M133" s="297"/>
      <c r="N133" s="298"/>
      <c r="O133" s="298"/>
      <c r="P133" s="298"/>
      <c r="Q133" s="298"/>
      <c r="R133" s="298"/>
      <c r="S133" s="298"/>
      <c r="U133" s="56"/>
    </row>
    <row r="134" customFormat="false" ht="20.1" hidden="false" customHeight="true" outlineLevel="0" collapsed="false">
      <c r="B134" s="56"/>
      <c r="D134" s="236" t="s">
        <v>159</v>
      </c>
      <c r="E134" s="39" t="s">
        <v>160</v>
      </c>
      <c r="F134" s="44" t="n">
        <v>4</v>
      </c>
      <c r="G134" s="237" t="s">
        <v>58</v>
      </c>
      <c r="H134" s="238" t="s">
        <v>349</v>
      </c>
      <c r="I134" s="104" t="s">
        <v>62</v>
      </c>
      <c r="J134" s="104"/>
      <c r="K134" s="239" t="s">
        <v>113</v>
      </c>
      <c r="L134" s="240" t="s">
        <v>62</v>
      </c>
      <c r="M134" s="241" t="s">
        <v>62</v>
      </c>
      <c r="N134" s="242" t="s">
        <v>62</v>
      </c>
      <c r="O134" s="242"/>
      <c r="P134" s="242"/>
      <c r="Q134" s="242"/>
      <c r="R134" s="242"/>
      <c r="S134" s="242"/>
      <c r="U134" s="56"/>
    </row>
    <row r="135" customFormat="false" ht="20.1" hidden="false" customHeight="true" outlineLevel="0" collapsed="false">
      <c r="B135" s="56"/>
      <c r="U135" s="56"/>
    </row>
    <row r="136" customFormat="false" ht="20.1" hidden="false" customHeight="true" outlineLevel="0" collapsed="false">
      <c r="B136" s="56"/>
      <c r="C136" s="106"/>
      <c r="D136" s="106"/>
      <c r="E136" s="107" t="str">
        <f aca="false">IF(OR(L121="-",L121= ""),H121,L121)</f>
        <v>Gaia Project</v>
      </c>
      <c r="F136" s="107"/>
      <c r="G136" s="107"/>
      <c r="H136" s="107"/>
      <c r="I136" s="107"/>
      <c r="J136" s="107"/>
      <c r="K136" s="107"/>
      <c r="L136" s="107"/>
      <c r="M136" s="107"/>
      <c r="N136" s="107"/>
      <c r="O136" s="108"/>
      <c r="P136" s="108"/>
      <c r="Q136" s="108"/>
      <c r="R136" s="108"/>
      <c r="S136" s="108"/>
      <c r="T136" s="106"/>
      <c r="U136" s="56"/>
    </row>
    <row r="137" customFormat="false" ht="50.1" hidden="false" customHeight="true" outlineLevel="0" collapsed="false">
      <c r="B137" s="56"/>
      <c r="C137" s="106"/>
      <c r="D137" s="108"/>
      <c r="E137" s="59" t="s">
        <v>48</v>
      </c>
      <c r="F137" s="109" t="s">
        <v>80</v>
      </c>
      <c r="G137" s="61" t="s">
        <v>81</v>
      </c>
      <c r="H137" s="60" t="s">
        <v>82</v>
      </c>
      <c r="I137" s="6" t="s">
        <v>83</v>
      </c>
      <c r="J137" s="60" t="s">
        <v>84</v>
      </c>
      <c r="K137" s="110" t="s">
        <v>85</v>
      </c>
      <c r="L137" s="60" t="s">
        <v>86</v>
      </c>
      <c r="M137" s="111" t="s">
        <v>87</v>
      </c>
      <c r="N137" s="61" t="s">
        <v>88</v>
      </c>
      <c r="O137" s="112" t="s">
        <v>89</v>
      </c>
      <c r="P137" s="113" t="s">
        <v>90</v>
      </c>
      <c r="Q137" s="113" t="s">
        <v>91</v>
      </c>
      <c r="R137" s="12" t="s">
        <v>92</v>
      </c>
      <c r="S137" s="108"/>
      <c r="T137" s="106"/>
      <c r="U137" s="56"/>
    </row>
    <row r="138" customFormat="false" ht="20.1" hidden="false" customHeight="true" outlineLevel="0" collapsed="false">
      <c r="B138" s="56"/>
      <c r="C138" s="106"/>
      <c r="D138" s="131"/>
      <c r="E138" s="243" t="s">
        <v>11</v>
      </c>
      <c r="F138" s="244" t="s">
        <v>12</v>
      </c>
      <c r="G138" s="245" t="n">
        <v>1</v>
      </c>
      <c r="H138" s="245" t="s">
        <v>179</v>
      </c>
      <c r="I138" s="245" t="n">
        <v>9</v>
      </c>
      <c r="J138" s="245" t="n">
        <v>189</v>
      </c>
      <c r="K138" s="245" t="s">
        <v>62</v>
      </c>
      <c r="L138" s="246" t="n">
        <f aca="false">IF(J138="",0,(J138/J142)*100)</f>
        <v>100</v>
      </c>
      <c r="M138" s="245" t="n">
        <v>1</v>
      </c>
      <c r="N138" s="247" t="n">
        <v>6</v>
      </c>
      <c r="O138" s="116" t="n">
        <f aca="false">IF(M138=1,1,0)</f>
        <v>1</v>
      </c>
      <c r="P138" s="117" t="n">
        <f aca="false">IF(M138=2,1,0)</f>
        <v>0</v>
      </c>
      <c r="Q138" s="117" t="n">
        <f aca="false">IF(M138=3,1,0)</f>
        <v>0</v>
      </c>
      <c r="R138" s="118" t="n">
        <f aca="false">IF(M138=4,1,0)</f>
        <v>0</v>
      </c>
      <c r="S138" s="119"/>
      <c r="T138" s="106"/>
      <c r="U138" s="56"/>
    </row>
    <row r="139" customFormat="false" ht="20.1" hidden="false" customHeight="true" outlineLevel="0" collapsed="false">
      <c r="B139" s="56"/>
      <c r="C139" s="106"/>
      <c r="D139" s="106"/>
      <c r="E139" s="77" t="s">
        <v>26</v>
      </c>
      <c r="F139" s="29" t="s">
        <v>27</v>
      </c>
      <c r="G139" s="248" t="n">
        <v>3</v>
      </c>
      <c r="H139" s="248" t="s">
        <v>350</v>
      </c>
      <c r="I139" s="248" t="n">
        <v>10</v>
      </c>
      <c r="J139" s="249" t="n">
        <v>130</v>
      </c>
      <c r="K139" s="249" t="s">
        <v>62</v>
      </c>
      <c r="L139" s="250" t="n">
        <f aca="false">IF(J139="",0,(J139/J142)*100)</f>
        <v>68.7830687830688</v>
      </c>
      <c r="M139" s="248" t="n">
        <v>3</v>
      </c>
      <c r="N139" s="251" t="n">
        <v>1</v>
      </c>
      <c r="O139" s="123" t="n">
        <f aca="false">IF(M139=1,1,0)</f>
        <v>0</v>
      </c>
      <c r="P139" s="124" t="n">
        <f aca="false">IF(M139=2,1,0)</f>
        <v>0</v>
      </c>
      <c r="Q139" s="124" t="n">
        <f aca="false">IF(M139=3,1,0)</f>
        <v>1</v>
      </c>
      <c r="R139" s="125" t="n">
        <f aca="false">IF(M139=4,1,0)</f>
        <v>0</v>
      </c>
      <c r="S139" s="119"/>
      <c r="T139" s="106"/>
      <c r="U139" s="56"/>
    </row>
    <row r="140" customFormat="false" ht="20.1" hidden="false" customHeight="true" outlineLevel="0" collapsed="false">
      <c r="B140" s="56"/>
      <c r="C140" s="106"/>
      <c r="D140" s="106"/>
      <c r="E140" s="77" t="s">
        <v>24</v>
      </c>
      <c r="F140" s="29" t="s">
        <v>25</v>
      </c>
      <c r="G140" s="248" t="n">
        <v>4</v>
      </c>
      <c r="H140" s="248" t="s">
        <v>180</v>
      </c>
      <c r="I140" s="248" t="n">
        <v>10</v>
      </c>
      <c r="J140" s="249" t="n">
        <v>137</v>
      </c>
      <c r="K140" s="248" t="s">
        <v>62</v>
      </c>
      <c r="L140" s="250" t="n">
        <f aca="false">IF(J140="",0,(J140/J142)*100)</f>
        <v>72.4867724867725</v>
      </c>
      <c r="M140" s="248" t="n">
        <v>2</v>
      </c>
      <c r="N140" s="251" t="n">
        <v>3</v>
      </c>
      <c r="O140" s="123" t="n">
        <f aca="false">IF(M140=1,1,0)</f>
        <v>0</v>
      </c>
      <c r="P140" s="124" t="n">
        <f aca="false">IF(M140=2,1,0)</f>
        <v>1</v>
      </c>
      <c r="Q140" s="124" t="n">
        <f aca="false">IF(M140=3,1,0)</f>
        <v>0</v>
      </c>
      <c r="R140" s="125" t="n">
        <f aca="false">IF(M140=4,1,0)</f>
        <v>0</v>
      </c>
      <c r="S140" s="119"/>
      <c r="T140" s="106"/>
      <c r="U140" s="56"/>
    </row>
    <row r="141" customFormat="false" ht="20.1" hidden="false" customHeight="true" outlineLevel="0" collapsed="false">
      <c r="B141" s="56"/>
      <c r="C141" s="106"/>
      <c r="D141" s="106"/>
      <c r="E141" s="252" t="s">
        <v>159</v>
      </c>
      <c r="F141" s="39" t="s">
        <v>160</v>
      </c>
      <c r="G141" s="253" t="n">
        <v>2</v>
      </c>
      <c r="H141" s="254" t="s">
        <v>351</v>
      </c>
      <c r="I141" s="253" t="n">
        <v>10</v>
      </c>
      <c r="J141" s="254" t="n">
        <v>121</v>
      </c>
      <c r="K141" s="254" t="s">
        <v>62</v>
      </c>
      <c r="L141" s="255" t="n">
        <f aca="false">IF(J141="",0,(J141/J142)*100)</f>
        <v>64.021164021164</v>
      </c>
      <c r="M141" s="253" t="n">
        <v>4</v>
      </c>
      <c r="N141" s="256" t="n">
        <v>0</v>
      </c>
      <c r="O141" s="135" t="n">
        <f aca="false">IF(M141=1,1,0)</f>
        <v>0</v>
      </c>
      <c r="P141" s="136" t="n">
        <f aca="false">IF(M141=2,1,0)</f>
        <v>0</v>
      </c>
      <c r="Q141" s="136" t="n">
        <f aca="false">IF(M141=3,1,0)</f>
        <v>0</v>
      </c>
      <c r="R141" s="137" t="n">
        <f aca="false">IF(M141=4,1,0)</f>
        <v>1</v>
      </c>
      <c r="S141" s="119"/>
      <c r="T141" s="106"/>
      <c r="U141" s="56"/>
    </row>
    <row r="142" customFormat="false" ht="20.1" hidden="true" customHeight="true" outlineLevel="1" collapsed="false">
      <c r="B142" s="56"/>
      <c r="C142" s="106"/>
      <c r="D142" s="131"/>
      <c r="E142" s="131"/>
      <c r="F142" s="139"/>
      <c r="G142" s="139"/>
      <c r="H142" s="106"/>
      <c r="I142" s="170" t="s">
        <v>94</v>
      </c>
      <c r="J142" s="141" t="n">
        <f aca="false">MAX(J138:J141)</f>
        <v>189</v>
      </c>
      <c r="K142" s="257"/>
      <c r="L142" s="147"/>
      <c r="M142" s="106"/>
      <c r="N142" s="144" t="s">
        <v>95</v>
      </c>
      <c r="O142" s="145" t="n">
        <f aca="false">SUM(O138:O141)</f>
        <v>1</v>
      </c>
      <c r="P142" s="146" t="n">
        <f aca="false">SUM(P138:P141)</f>
        <v>1</v>
      </c>
      <c r="Q142" s="145" t="n">
        <f aca="false">SUM(Q138:Q141)</f>
        <v>1</v>
      </c>
      <c r="R142" s="158" t="n">
        <f aca="false">SUM(R138:R141)</f>
        <v>1</v>
      </c>
      <c r="S142" s="147"/>
      <c r="T142" s="106"/>
      <c r="U142" s="56"/>
    </row>
    <row r="143" customFormat="false" ht="20.1" hidden="false" customHeight="true" outlineLevel="0" collapsed="false">
      <c r="B143" s="56"/>
      <c r="C143" s="106"/>
      <c r="D143" s="106"/>
      <c r="E143" s="106"/>
      <c r="F143" s="106"/>
      <c r="G143" s="106"/>
      <c r="H143" s="106"/>
      <c r="I143" s="106"/>
      <c r="J143" s="106"/>
      <c r="K143" s="106"/>
      <c r="L143" s="106"/>
      <c r="M143" s="106"/>
      <c r="N143" s="106"/>
      <c r="O143" s="106"/>
      <c r="P143" s="106"/>
      <c r="Q143" s="106"/>
      <c r="R143" s="106"/>
      <c r="S143" s="106"/>
      <c r="T143" s="106"/>
      <c r="U143" s="56"/>
    </row>
    <row r="144" customFormat="false" ht="20.1" hidden="false" customHeight="true" outlineLevel="0" collapsed="false">
      <c r="B144" s="56"/>
      <c r="U144" s="56"/>
    </row>
    <row r="145" customFormat="false" ht="20.1" hidden="false" customHeight="true" outlineLevel="0" collapsed="false">
      <c r="B145" s="56"/>
      <c r="C145" s="149"/>
      <c r="D145" s="149"/>
      <c r="E145" s="150" t="str">
        <f aca="false">IF(OR(M129="-",M129= ""),H129,M129)</f>
        <v>Living Forest</v>
      </c>
      <c r="F145" s="150"/>
      <c r="G145" s="150"/>
      <c r="H145" s="150"/>
      <c r="I145" s="150"/>
      <c r="J145" s="150"/>
      <c r="K145" s="150"/>
      <c r="L145" s="150"/>
      <c r="M145" s="150"/>
      <c r="N145" s="150"/>
      <c r="O145" s="151"/>
      <c r="P145" s="151"/>
      <c r="Q145" s="151"/>
      <c r="R145" s="151"/>
      <c r="S145" s="151"/>
      <c r="T145" s="149"/>
      <c r="U145" s="56"/>
    </row>
    <row r="146" customFormat="false" ht="50.1" hidden="false" customHeight="true" outlineLevel="0" collapsed="false">
      <c r="B146" s="56"/>
      <c r="C146" s="149"/>
      <c r="D146" s="151"/>
      <c r="E146" s="59" t="s">
        <v>48</v>
      </c>
      <c r="F146" s="109" t="s">
        <v>80</v>
      </c>
      <c r="G146" s="61" t="s">
        <v>81</v>
      </c>
      <c r="H146" s="60" t="s">
        <v>82</v>
      </c>
      <c r="I146" s="6" t="s">
        <v>83</v>
      </c>
      <c r="J146" s="60" t="s">
        <v>84</v>
      </c>
      <c r="K146" s="110" t="s">
        <v>85</v>
      </c>
      <c r="L146" s="60" t="s">
        <v>86</v>
      </c>
      <c r="M146" s="111" t="s">
        <v>87</v>
      </c>
      <c r="N146" s="61" t="s">
        <v>88</v>
      </c>
      <c r="O146" s="112" t="s">
        <v>89</v>
      </c>
      <c r="P146" s="113" t="s">
        <v>90</v>
      </c>
      <c r="Q146" s="113" t="s">
        <v>91</v>
      </c>
      <c r="R146" s="12" t="s">
        <v>92</v>
      </c>
      <c r="S146" s="151"/>
      <c r="T146" s="149"/>
      <c r="U146" s="56"/>
    </row>
    <row r="147" customFormat="false" ht="20.1" hidden="false" customHeight="true" outlineLevel="0" collapsed="false">
      <c r="B147" s="56"/>
      <c r="C147" s="149"/>
      <c r="D147" s="153"/>
      <c r="E147" s="243" t="s">
        <v>11</v>
      </c>
      <c r="F147" s="244" t="s">
        <v>12</v>
      </c>
      <c r="G147" s="245" t="n">
        <v>3</v>
      </c>
      <c r="H147" s="245" t="s">
        <v>62</v>
      </c>
      <c r="I147" s="245" t="n">
        <v>0</v>
      </c>
      <c r="J147" s="245" t="n">
        <v>1</v>
      </c>
      <c r="K147" s="328" t="s">
        <v>62</v>
      </c>
      <c r="L147" s="246" t="n">
        <f aca="false">IF(J147="",0,(J147/J151)*100)</f>
        <v>100</v>
      </c>
      <c r="M147" s="245" t="n">
        <v>1</v>
      </c>
      <c r="N147" s="247" t="n">
        <v>6</v>
      </c>
      <c r="O147" s="116" t="n">
        <f aca="false">IF(M147=1,1,0)</f>
        <v>1</v>
      </c>
      <c r="P147" s="117" t="n">
        <f aca="false">IF(M147=2,1,0)</f>
        <v>0</v>
      </c>
      <c r="Q147" s="117" t="n">
        <f aca="false">IF(M147=3,1,0)</f>
        <v>0</v>
      </c>
      <c r="R147" s="118" t="n">
        <f aca="false">IF(M147=4,1,0)</f>
        <v>0</v>
      </c>
      <c r="S147" s="152"/>
      <c r="T147" s="149"/>
      <c r="U147" s="56"/>
    </row>
    <row r="148" customFormat="false" ht="45" hidden="false" customHeight="true" outlineLevel="0" collapsed="false">
      <c r="B148" s="56"/>
      <c r="C148" s="149"/>
      <c r="D148" s="149"/>
      <c r="E148" s="77" t="s">
        <v>26</v>
      </c>
      <c r="F148" s="29" t="s">
        <v>27</v>
      </c>
      <c r="G148" s="248" t="n">
        <v>2</v>
      </c>
      <c r="H148" s="248" t="s">
        <v>62</v>
      </c>
      <c r="I148" s="248" t="n">
        <v>0</v>
      </c>
      <c r="J148" s="249" t="n">
        <v>0</v>
      </c>
      <c r="K148" s="249" t="s">
        <v>352</v>
      </c>
      <c r="L148" s="250" t="n">
        <f aca="false">IF(J148="",0,(J148/J151)*100)</f>
        <v>0</v>
      </c>
      <c r="M148" s="248" t="n">
        <v>3</v>
      </c>
      <c r="N148" s="251" t="n">
        <v>1</v>
      </c>
      <c r="O148" s="123" t="n">
        <f aca="false">IF(M148=1,1,0)</f>
        <v>0</v>
      </c>
      <c r="P148" s="124" t="n">
        <f aca="false">IF(M148=2,1,0)</f>
        <v>0</v>
      </c>
      <c r="Q148" s="124" t="n">
        <f aca="false">IF(M148=3,1,0)</f>
        <v>1</v>
      </c>
      <c r="R148" s="125" t="n">
        <f aca="false">IF(M148=4,1,0)</f>
        <v>0</v>
      </c>
      <c r="S148" s="152"/>
      <c r="T148" s="149"/>
      <c r="U148" s="56"/>
    </row>
    <row r="149" customFormat="false" ht="45" hidden="false" customHeight="true" outlineLevel="0" collapsed="false">
      <c r="B149" s="56"/>
      <c r="C149" s="149"/>
      <c r="D149" s="153"/>
      <c r="E149" s="77" t="s">
        <v>24</v>
      </c>
      <c r="F149" s="29" t="s">
        <v>25</v>
      </c>
      <c r="G149" s="248" t="n">
        <v>4</v>
      </c>
      <c r="H149" s="248" t="s">
        <v>62</v>
      </c>
      <c r="I149" s="248" t="n">
        <v>0</v>
      </c>
      <c r="J149" s="249" t="n">
        <v>0</v>
      </c>
      <c r="K149" s="249" t="s">
        <v>353</v>
      </c>
      <c r="L149" s="250" t="n">
        <f aca="false">IF(J149="",0,(J149/J151)*100)</f>
        <v>0</v>
      </c>
      <c r="M149" s="248" t="n">
        <v>2</v>
      </c>
      <c r="N149" s="251" t="n">
        <v>3</v>
      </c>
      <c r="O149" s="123" t="n">
        <f aca="false">IF(M149=1,1,0)</f>
        <v>0</v>
      </c>
      <c r="P149" s="124" t="n">
        <f aca="false">IF(M149=2,1,0)</f>
        <v>1</v>
      </c>
      <c r="Q149" s="124" t="n">
        <f aca="false">IF(M149=3,1,0)</f>
        <v>0</v>
      </c>
      <c r="R149" s="125" t="n">
        <f aca="false">IF(M149=4,1,0)</f>
        <v>0</v>
      </c>
      <c r="S149" s="152"/>
      <c r="T149" s="149"/>
      <c r="U149" s="56"/>
    </row>
    <row r="150" customFormat="false" ht="45" hidden="false" customHeight="true" outlineLevel="0" collapsed="false">
      <c r="B150" s="56"/>
      <c r="C150" s="149"/>
      <c r="D150" s="149"/>
      <c r="E150" s="252" t="s">
        <v>159</v>
      </c>
      <c r="F150" s="39" t="s">
        <v>160</v>
      </c>
      <c r="G150" s="253" t="n">
        <v>1</v>
      </c>
      <c r="H150" s="254" t="s">
        <v>62</v>
      </c>
      <c r="I150" s="253" t="n">
        <v>0</v>
      </c>
      <c r="J150" s="254" t="n">
        <v>0</v>
      </c>
      <c r="K150" s="254" t="s">
        <v>354</v>
      </c>
      <c r="L150" s="255" t="n">
        <f aca="false">IF(J150="",0,(J150/J151)*100)</f>
        <v>0</v>
      </c>
      <c r="M150" s="253" t="n">
        <v>4</v>
      </c>
      <c r="N150" s="256" t="n">
        <v>0</v>
      </c>
      <c r="O150" s="135" t="n">
        <f aca="false">IF(M150=1,1,0)</f>
        <v>0</v>
      </c>
      <c r="P150" s="136" t="n">
        <f aca="false">IF(M150=2,1,0)</f>
        <v>0</v>
      </c>
      <c r="Q150" s="136" t="n">
        <f aca="false">IF(M150=3,1,0)</f>
        <v>0</v>
      </c>
      <c r="R150" s="137" t="n">
        <f aca="false">IF(M150=4,1,0)</f>
        <v>1</v>
      </c>
      <c r="S150" s="152"/>
      <c r="T150" s="149"/>
      <c r="U150" s="56"/>
    </row>
    <row r="151" customFormat="false" ht="20.1" hidden="true" customHeight="true" outlineLevel="1" collapsed="false">
      <c r="B151" s="56"/>
      <c r="C151" s="149"/>
      <c r="D151" s="149"/>
      <c r="E151" s="149"/>
      <c r="F151" s="155"/>
      <c r="G151" s="155"/>
      <c r="H151" s="149"/>
      <c r="I151" s="170" t="s">
        <v>94</v>
      </c>
      <c r="J151" s="141" t="n">
        <f aca="false">MAX(J147:J150)</f>
        <v>1</v>
      </c>
      <c r="K151" s="157"/>
      <c r="L151" s="152"/>
      <c r="M151" s="149"/>
      <c r="N151" s="144" t="s">
        <v>95</v>
      </c>
      <c r="O151" s="145" t="n">
        <f aca="false">SUM(O147:O150)</f>
        <v>1</v>
      </c>
      <c r="P151" s="146" t="n">
        <f aca="false">SUM(P147:P150)</f>
        <v>1</v>
      </c>
      <c r="Q151" s="145" t="n">
        <f aca="false">SUM(Q147:Q150)</f>
        <v>1</v>
      </c>
      <c r="R151" s="158" t="n">
        <f aca="false">SUM(R147:R150)</f>
        <v>1</v>
      </c>
      <c r="S151" s="159"/>
      <c r="T151" s="149"/>
      <c r="U151" s="56"/>
    </row>
    <row r="152" customFormat="false" ht="20.1" hidden="false" customHeight="true" outlineLevel="0" collapsed="false">
      <c r="B152" s="56"/>
      <c r="C152" s="149"/>
      <c r="D152" s="149"/>
      <c r="E152" s="149"/>
      <c r="F152" s="149"/>
      <c r="G152" s="149"/>
      <c r="H152" s="149"/>
      <c r="I152" s="149"/>
      <c r="J152" s="149"/>
      <c r="K152" s="149"/>
      <c r="L152" s="149"/>
      <c r="M152" s="149"/>
      <c r="N152" s="149"/>
      <c r="O152" s="149"/>
      <c r="P152" s="149"/>
      <c r="Q152" s="149"/>
      <c r="R152" s="149"/>
      <c r="S152" s="149"/>
      <c r="T152" s="149"/>
      <c r="U152" s="56"/>
    </row>
    <row r="153" customFormat="false" ht="20.1" hidden="false" customHeight="true" outlineLevel="0" collapsed="false">
      <c r="B153" s="56"/>
      <c r="D153" s="45"/>
      <c r="E153" s="45"/>
      <c r="F153" s="45"/>
      <c r="G153" s="45"/>
      <c r="H153" s="160"/>
      <c r="I153" s="45"/>
      <c r="J153" s="45"/>
      <c r="U153" s="56"/>
    </row>
    <row r="154" customFormat="false" ht="20.1" hidden="false" customHeight="true" outlineLevel="0" collapsed="false">
      <c r="B154" s="56"/>
      <c r="C154" s="161"/>
      <c r="D154" s="161"/>
      <c r="E154" s="162" t="str">
        <f aca="false">IF(OR(L131="-",L131= ""),H131,L131)</f>
        <v>Flügelschlag</v>
      </c>
      <c r="F154" s="162"/>
      <c r="G154" s="162"/>
      <c r="H154" s="162"/>
      <c r="I154" s="162"/>
      <c r="J154" s="162"/>
      <c r="K154" s="162"/>
      <c r="L154" s="162"/>
      <c r="M154" s="162"/>
      <c r="N154" s="162"/>
      <c r="O154" s="163"/>
      <c r="P154" s="163"/>
      <c r="Q154" s="163"/>
      <c r="R154" s="163"/>
      <c r="S154" s="163"/>
      <c r="T154" s="161"/>
      <c r="U154" s="164"/>
    </row>
    <row r="155" customFormat="false" ht="50.1" hidden="false" customHeight="true" outlineLevel="0" collapsed="false">
      <c r="B155" s="56"/>
      <c r="C155" s="161"/>
      <c r="D155" s="163"/>
      <c r="E155" s="59" t="s">
        <v>48</v>
      </c>
      <c r="F155" s="109" t="s">
        <v>80</v>
      </c>
      <c r="G155" s="61" t="s">
        <v>81</v>
      </c>
      <c r="H155" s="60" t="s">
        <v>82</v>
      </c>
      <c r="I155" s="6" t="s">
        <v>83</v>
      </c>
      <c r="J155" s="60" t="s">
        <v>84</v>
      </c>
      <c r="K155" s="110" t="s">
        <v>85</v>
      </c>
      <c r="L155" s="60" t="s">
        <v>86</v>
      </c>
      <c r="M155" s="111" t="s">
        <v>87</v>
      </c>
      <c r="N155" s="61" t="s">
        <v>88</v>
      </c>
      <c r="O155" s="112" t="s">
        <v>89</v>
      </c>
      <c r="P155" s="113" t="s">
        <v>90</v>
      </c>
      <c r="Q155" s="113" t="s">
        <v>91</v>
      </c>
      <c r="R155" s="12" t="s">
        <v>92</v>
      </c>
      <c r="S155" s="163"/>
      <c r="T155" s="161"/>
      <c r="U155" s="164"/>
    </row>
    <row r="156" customFormat="false" ht="20.1" hidden="false" customHeight="true" outlineLevel="0" collapsed="false">
      <c r="B156" s="56"/>
      <c r="C156" s="161"/>
      <c r="D156" s="167"/>
      <c r="E156" s="67" t="s">
        <v>11</v>
      </c>
      <c r="F156" s="14" t="s">
        <v>12</v>
      </c>
      <c r="G156" s="258" t="n">
        <v>4</v>
      </c>
      <c r="H156" s="258" t="s">
        <v>62</v>
      </c>
      <c r="I156" s="258" t="n">
        <v>0</v>
      </c>
      <c r="J156" s="258" t="n">
        <v>96</v>
      </c>
      <c r="K156" s="258" t="s">
        <v>62</v>
      </c>
      <c r="L156" s="259" t="n">
        <f aca="false">IF(J156="",0,(J156/J160)*100)</f>
        <v>96.969696969697</v>
      </c>
      <c r="M156" s="258" t="n">
        <v>2</v>
      </c>
      <c r="N156" s="260" t="n">
        <v>3</v>
      </c>
      <c r="O156" s="116" t="n">
        <f aca="false">IF(M156=1,1,0)</f>
        <v>0</v>
      </c>
      <c r="P156" s="117" t="n">
        <f aca="false">IF(M156=2,1,0)</f>
        <v>1</v>
      </c>
      <c r="Q156" s="117" t="n">
        <f aca="false">IF(M156=3,1,0)</f>
        <v>0</v>
      </c>
      <c r="R156" s="118" t="n">
        <f aca="false">IF(M156=4,1,0)</f>
        <v>0</v>
      </c>
      <c r="S156" s="166"/>
      <c r="T156" s="161"/>
      <c r="U156" s="56"/>
    </row>
    <row r="157" customFormat="false" ht="30" hidden="false" customHeight="true" outlineLevel="0" collapsed="false">
      <c r="B157" s="56"/>
      <c r="C157" s="161"/>
      <c r="D157" s="161"/>
      <c r="E157" s="77" t="s">
        <v>26</v>
      </c>
      <c r="F157" s="29" t="s">
        <v>27</v>
      </c>
      <c r="G157" s="248" t="n">
        <v>2</v>
      </c>
      <c r="H157" s="248" t="s">
        <v>62</v>
      </c>
      <c r="I157" s="248" t="n">
        <v>0</v>
      </c>
      <c r="J157" s="249" t="n">
        <v>93</v>
      </c>
      <c r="K157" s="249" t="s">
        <v>355</v>
      </c>
      <c r="L157" s="250" t="n">
        <f aca="false">IF(J157="",0,(J157/J160)*100)</f>
        <v>93.9393939393939</v>
      </c>
      <c r="M157" s="248" t="n">
        <v>4</v>
      </c>
      <c r="N157" s="251" t="n">
        <v>0</v>
      </c>
      <c r="O157" s="123" t="n">
        <f aca="false">IF(M157=1,1,0)</f>
        <v>0</v>
      </c>
      <c r="P157" s="124" t="n">
        <f aca="false">IF(M157=2,1,0)</f>
        <v>0</v>
      </c>
      <c r="Q157" s="124" t="n">
        <f aca="false">IF(M157=3,1,0)</f>
        <v>0</v>
      </c>
      <c r="R157" s="125" t="n">
        <f aca="false">IF(M157=4,1,0)</f>
        <v>1</v>
      </c>
      <c r="S157" s="166"/>
      <c r="T157" s="161"/>
      <c r="U157" s="168"/>
    </row>
    <row r="158" customFormat="false" ht="30" hidden="false" customHeight="true" outlineLevel="0" collapsed="false">
      <c r="B158" s="56"/>
      <c r="C158" s="161"/>
      <c r="D158" s="161"/>
      <c r="E158" s="77" t="s">
        <v>24</v>
      </c>
      <c r="F158" s="29" t="s">
        <v>25</v>
      </c>
      <c r="G158" s="248" t="n">
        <v>1</v>
      </c>
      <c r="H158" s="248" t="s">
        <v>62</v>
      </c>
      <c r="I158" s="248" t="n">
        <v>0</v>
      </c>
      <c r="J158" s="249" t="n">
        <v>93</v>
      </c>
      <c r="K158" s="249" t="s">
        <v>356</v>
      </c>
      <c r="L158" s="250" t="n">
        <f aca="false">IF(J158="",0,(J158/J160)*100)</f>
        <v>93.9393939393939</v>
      </c>
      <c r="M158" s="248" t="n">
        <v>3</v>
      </c>
      <c r="N158" s="251" t="n">
        <v>1</v>
      </c>
      <c r="O158" s="123" t="n">
        <f aca="false">IF(M158=1,1,0)</f>
        <v>0</v>
      </c>
      <c r="P158" s="124" t="n">
        <f aca="false">IF(M158=2,1,0)</f>
        <v>0</v>
      </c>
      <c r="Q158" s="124" t="n">
        <f aca="false">IF(M158=3,1,0)</f>
        <v>1</v>
      </c>
      <c r="R158" s="125" t="n">
        <f aca="false">IF(M158=4,1,0)</f>
        <v>0</v>
      </c>
      <c r="S158" s="166"/>
      <c r="T158" s="161"/>
      <c r="U158" s="168"/>
    </row>
    <row r="159" customFormat="false" ht="20.1" hidden="false" customHeight="true" outlineLevel="0" collapsed="false">
      <c r="B159" s="56"/>
      <c r="C159" s="161"/>
      <c r="D159" s="161"/>
      <c r="E159" s="261" t="s">
        <v>159</v>
      </c>
      <c r="F159" s="262" t="s">
        <v>160</v>
      </c>
      <c r="G159" s="263" t="n">
        <v>3</v>
      </c>
      <c r="H159" s="264" t="s">
        <v>62</v>
      </c>
      <c r="I159" s="263" t="n">
        <v>0</v>
      </c>
      <c r="J159" s="264" t="n">
        <v>99</v>
      </c>
      <c r="K159" s="264" t="s">
        <v>62</v>
      </c>
      <c r="L159" s="265" t="n">
        <f aca="false">IF(J159="",0,(J159/J160)*100)</f>
        <v>100</v>
      </c>
      <c r="M159" s="263" t="n">
        <v>1</v>
      </c>
      <c r="N159" s="266" t="n">
        <v>6</v>
      </c>
      <c r="O159" s="135" t="n">
        <f aca="false">IF(M159=1,1,0)</f>
        <v>1</v>
      </c>
      <c r="P159" s="136" t="n">
        <f aca="false">IF(M159=2,1,0)</f>
        <v>0</v>
      </c>
      <c r="Q159" s="136" t="n">
        <f aca="false">IF(M159=3,1,0)</f>
        <v>0</v>
      </c>
      <c r="R159" s="137" t="n">
        <f aca="false">IF(M159=4,1,0)</f>
        <v>0</v>
      </c>
      <c r="S159" s="166"/>
      <c r="T159" s="161"/>
      <c r="U159" s="168"/>
    </row>
    <row r="160" customFormat="false" ht="20.1" hidden="true" customHeight="true" outlineLevel="1" collapsed="false">
      <c r="B160" s="56"/>
      <c r="C160" s="161"/>
      <c r="D160" s="161"/>
      <c r="E160" s="161"/>
      <c r="F160" s="169"/>
      <c r="G160" s="169"/>
      <c r="H160" s="161"/>
      <c r="I160" s="170" t="s">
        <v>94</v>
      </c>
      <c r="J160" s="141" t="n">
        <f aca="false">MAX(J156:J159)</f>
        <v>99</v>
      </c>
      <c r="K160" s="171"/>
      <c r="L160" s="166"/>
      <c r="M160" s="161"/>
      <c r="N160" s="144" t="s">
        <v>95</v>
      </c>
      <c r="O160" s="145" t="n">
        <f aca="false">SUM(O156:O159)</f>
        <v>1</v>
      </c>
      <c r="P160" s="146" t="n">
        <f aca="false">SUM(P156:P159)</f>
        <v>1</v>
      </c>
      <c r="Q160" s="145" t="n">
        <f aca="false">SUM(Q156:Q159)</f>
        <v>1</v>
      </c>
      <c r="R160" s="158" t="n">
        <f aca="false">SUM(R156:R159)</f>
        <v>1</v>
      </c>
      <c r="S160" s="172"/>
      <c r="T160" s="161"/>
      <c r="U160" s="168"/>
    </row>
    <row r="161" customFormat="false" ht="20.1" hidden="false" customHeight="true" outlineLevel="0" collapsed="false">
      <c r="B161" s="56"/>
      <c r="C161" s="161"/>
      <c r="D161" s="161"/>
      <c r="E161" s="161"/>
      <c r="F161" s="161"/>
      <c r="G161" s="161"/>
      <c r="H161" s="161"/>
      <c r="I161" s="161"/>
      <c r="J161" s="161"/>
      <c r="K161" s="161"/>
      <c r="L161" s="161"/>
      <c r="M161" s="161"/>
      <c r="N161" s="161"/>
      <c r="O161" s="161"/>
      <c r="P161" s="161"/>
      <c r="Q161" s="161"/>
      <c r="R161" s="161"/>
      <c r="S161" s="161"/>
      <c r="T161" s="161"/>
      <c r="U161" s="168"/>
    </row>
    <row r="162" customFormat="false" ht="20.1" hidden="false" customHeight="true" outlineLevel="0" collapsed="false">
      <c r="B162" s="56"/>
      <c r="D162" s="45"/>
      <c r="E162" s="45"/>
      <c r="F162" s="45"/>
      <c r="G162" s="45"/>
      <c r="H162" s="160"/>
      <c r="I162" s="45"/>
      <c r="J162" s="45"/>
      <c r="K162" s="45"/>
      <c r="U162" s="56"/>
    </row>
    <row r="163" customFormat="false" ht="20.1" hidden="false" customHeight="true" outlineLevel="0" collapsed="false">
      <c r="B163" s="56"/>
      <c r="C163" s="173"/>
      <c r="D163" s="173"/>
      <c r="E163" s="174" t="str">
        <f aca="false">IF(OR(L134="-",L134= ""),H134,L134)</f>
        <v>Alhambra</v>
      </c>
      <c r="F163" s="174"/>
      <c r="G163" s="174"/>
      <c r="H163" s="174"/>
      <c r="I163" s="174"/>
      <c r="J163" s="174"/>
      <c r="K163" s="174"/>
      <c r="L163" s="174"/>
      <c r="M163" s="174"/>
      <c r="N163" s="174"/>
      <c r="O163" s="175"/>
      <c r="P163" s="175"/>
      <c r="Q163" s="175"/>
      <c r="R163" s="175"/>
      <c r="S163" s="175"/>
      <c r="T163" s="173"/>
      <c r="U163" s="56"/>
    </row>
    <row r="164" customFormat="false" ht="50.1" hidden="false" customHeight="true" outlineLevel="0" collapsed="false">
      <c r="B164" s="56"/>
      <c r="C164" s="173"/>
      <c r="D164" s="175"/>
      <c r="E164" s="59" t="s">
        <v>48</v>
      </c>
      <c r="F164" s="109" t="s">
        <v>80</v>
      </c>
      <c r="G164" s="61" t="s">
        <v>81</v>
      </c>
      <c r="H164" s="60" t="s">
        <v>82</v>
      </c>
      <c r="I164" s="6" t="s">
        <v>83</v>
      </c>
      <c r="J164" s="60" t="s">
        <v>84</v>
      </c>
      <c r="K164" s="110" t="s">
        <v>85</v>
      </c>
      <c r="L164" s="60" t="s">
        <v>86</v>
      </c>
      <c r="M164" s="111" t="s">
        <v>87</v>
      </c>
      <c r="N164" s="61" t="s">
        <v>88</v>
      </c>
      <c r="O164" s="112" t="s">
        <v>89</v>
      </c>
      <c r="P164" s="113" t="s">
        <v>90</v>
      </c>
      <c r="Q164" s="113" t="s">
        <v>91</v>
      </c>
      <c r="R164" s="12" t="s">
        <v>92</v>
      </c>
      <c r="S164" s="175"/>
      <c r="T164" s="173"/>
      <c r="U164" s="56"/>
    </row>
    <row r="165" customFormat="false" ht="20.1" hidden="false" customHeight="true" outlineLevel="0" collapsed="false">
      <c r="B165" s="56"/>
      <c r="C165" s="173"/>
      <c r="D165" s="173"/>
      <c r="E165" s="243" t="s">
        <v>11</v>
      </c>
      <c r="F165" s="244" t="s">
        <v>12</v>
      </c>
      <c r="G165" s="245" t="n">
        <v>2</v>
      </c>
      <c r="H165" s="245" t="s">
        <v>62</v>
      </c>
      <c r="I165" s="245" t="n">
        <v>0</v>
      </c>
      <c r="J165" s="245" t="n">
        <v>152</v>
      </c>
      <c r="K165" s="245" t="s">
        <v>62</v>
      </c>
      <c r="L165" s="246" t="n">
        <f aca="false">IF(J165="",0,(J165/J169)*100)</f>
        <v>100</v>
      </c>
      <c r="M165" s="245" t="n">
        <v>1</v>
      </c>
      <c r="N165" s="247" t="n">
        <v>6</v>
      </c>
      <c r="O165" s="116" t="n">
        <f aca="false">IF(M165=1,1,0)</f>
        <v>1</v>
      </c>
      <c r="P165" s="117" t="n">
        <f aca="false">IF(M165=2,1,0)</f>
        <v>0</v>
      </c>
      <c r="Q165" s="117" t="n">
        <f aca="false">IF(M165=3,1,0)</f>
        <v>0</v>
      </c>
      <c r="R165" s="118" t="n">
        <f aca="false">IF(M165=4,1,0)</f>
        <v>0</v>
      </c>
      <c r="S165" s="176"/>
      <c r="T165" s="173"/>
      <c r="U165" s="56"/>
    </row>
    <row r="166" customFormat="false" ht="20.1" hidden="false" customHeight="true" outlineLevel="0" collapsed="false">
      <c r="B166" s="56"/>
      <c r="C166" s="173"/>
      <c r="D166" s="173"/>
      <c r="E166" s="77" t="s">
        <v>26</v>
      </c>
      <c r="F166" s="29" t="s">
        <v>27</v>
      </c>
      <c r="G166" s="248" t="n">
        <v>1</v>
      </c>
      <c r="H166" s="248" t="s">
        <v>62</v>
      </c>
      <c r="I166" s="248" t="n">
        <v>0</v>
      </c>
      <c r="J166" s="249" t="n">
        <v>86</v>
      </c>
      <c r="K166" s="249" t="s">
        <v>62</v>
      </c>
      <c r="L166" s="250" t="n">
        <f aca="false">IF(J166="",0,(J166/J169)*100)</f>
        <v>56.578947368421</v>
      </c>
      <c r="M166" s="248" t="n">
        <v>2</v>
      </c>
      <c r="N166" s="251" t="n">
        <v>3</v>
      </c>
      <c r="O166" s="123" t="n">
        <f aca="false">IF(M166=1,1,0)</f>
        <v>0</v>
      </c>
      <c r="P166" s="124" t="n">
        <f aca="false">IF(M166=2,1,0)</f>
        <v>1</v>
      </c>
      <c r="Q166" s="124" t="n">
        <f aca="false">IF(M166=3,1,0)</f>
        <v>0</v>
      </c>
      <c r="R166" s="125" t="n">
        <f aca="false">IF(M166=4,1,0)</f>
        <v>0</v>
      </c>
      <c r="S166" s="176"/>
      <c r="T166" s="173"/>
      <c r="U166" s="56"/>
    </row>
    <row r="167" customFormat="false" ht="20.1" hidden="false" customHeight="true" outlineLevel="0" collapsed="false">
      <c r="B167" s="56"/>
      <c r="C167" s="173"/>
      <c r="D167" s="173"/>
      <c r="E167" s="77" t="s">
        <v>24</v>
      </c>
      <c r="F167" s="29" t="s">
        <v>25</v>
      </c>
      <c r="G167" s="248" t="n">
        <v>3</v>
      </c>
      <c r="H167" s="248" t="s">
        <v>62</v>
      </c>
      <c r="I167" s="248" t="n">
        <v>0</v>
      </c>
      <c r="J167" s="249" t="n">
        <v>82</v>
      </c>
      <c r="K167" s="248" t="s">
        <v>62</v>
      </c>
      <c r="L167" s="250" t="n">
        <f aca="false">IF(J167="",0,(J167/J169)*100)</f>
        <v>53.9473684210526</v>
      </c>
      <c r="M167" s="248" t="n">
        <v>3</v>
      </c>
      <c r="N167" s="251" t="n">
        <v>1</v>
      </c>
      <c r="O167" s="123" t="n">
        <f aca="false">IF(M167=1,1,0)</f>
        <v>0</v>
      </c>
      <c r="P167" s="124" t="n">
        <f aca="false">IF(M167=2,1,0)</f>
        <v>0</v>
      </c>
      <c r="Q167" s="124" t="n">
        <f aca="false">IF(M167=3,1,0)</f>
        <v>1</v>
      </c>
      <c r="R167" s="125" t="n">
        <f aca="false">IF(M167=4,1,0)</f>
        <v>0</v>
      </c>
      <c r="S167" s="176"/>
      <c r="T167" s="173"/>
      <c r="U167" s="56"/>
    </row>
    <row r="168" customFormat="false" ht="20.1" hidden="false" customHeight="true" outlineLevel="0" collapsed="false">
      <c r="B168" s="56"/>
      <c r="C168" s="173"/>
      <c r="D168" s="177"/>
      <c r="E168" s="252" t="s">
        <v>159</v>
      </c>
      <c r="F168" s="39" t="s">
        <v>160</v>
      </c>
      <c r="G168" s="253" t="n">
        <v>4</v>
      </c>
      <c r="H168" s="254" t="s">
        <v>62</v>
      </c>
      <c r="I168" s="253" t="n">
        <v>0</v>
      </c>
      <c r="J168" s="254" t="n">
        <v>75</v>
      </c>
      <c r="K168" s="254" t="s">
        <v>62</v>
      </c>
      <c r="L168" s="255" t="n">
        <f aca="false">IF(J168="",0,(J168/J169)*100)</f>
        <v>49.3421052631579</v>
      </c>
      <c r="M168" s="253" t="n">
        <v>4</v>
      </c>
      <c r="N168" s="256" t="n">
        <v>0</v>
      </c>
      <c r="O168" s="135" t="n">
        <f aca="false">IF(M168=1,1,0)</f>
        <v>0</v>
      </c>
      <c r="P168" s="136" t="n">
        <f aca="false">IF(M168=2,1,0)</f>
        <v>0</v>
      </c>
      <c r="Q168" s="136" t="n">
        <f aca="false">IF(M168=3,1,0)</f>
        <v>0</v>
      </c>
      <c r="R168" s="137" t="n">
        <f aca="false">IF(M168=4,1,0)</f>
        <v>1</v>
      </c>
      <c r="S168" s="176"/>
      <c r="T168" s="173"/>
      <c r="U168" s="56"/>
    </row>
    <row r="169" customFormat="false" ht="20.1" hidden="true" customHeight="true" outlineLevel="1" collapsed="false">
      <c r="B169" s="56"/>
      <c r="C169" s="173"/>
      <c r="D169" s="173"/>
      <c r="E169" s="173"/>
      <c r="F169" s="178"/>
      <c r="G169" s="178"/>
      <c r="H169" s="173"/>
      <c r="I169" s="170" t="s">
        <v>94</v>
      </c>
      <c r="J169" s="141" t="n">
        <f aca="false">MAX(J165:J168)</f>
        <v>152</v>
      </c>
      <c r="K169" s="179"/>
      <c r="L169" s="176"/>
      <c r="M169" s="173"/>
      <c r="N169" s="144" t="s">
        <v>95</v>
      </c>
      <c r="O169" s="145" t="n">
        <f aca="false">SUM(O165:O168)</f>
        <v>1</v>
      </c>
      <c r="P169" s="146" t="n">
        <f aca="false">SUM(P165:P168)</f>
        <v>1</v>
      </c>
      <c r="Q169" s="145" t="n">
        <f aca="false">SUM(Q165:Q168)</f>
        <v>1</v>
      </c>
      <c r="R169" s="158" t="n">
        <f aca="false">SUM(R165:R168)</f>
        <v>1</v>
      </c>
      <c r="S169" s="180"/>
      <c r="T169" s="173"/>
      <c r="U169" s="56"/>
    </row>
    <row r="170" customFormat="false" ht="20.1" hidden="false" customHeight="true" outlineLevel="0" collapsed="false">
      <c r="B170" s="56"/>
      <c r="C170" s="173"/>
      <c r="D170" s="173"/>
      <c r="E170" s="173"/>
      <c r="F170" s="173"/>
      <c r="G170" s="173"/>
      <c r="H170" s="173"/>
      <c r="I170" s="173"/>
      <c r="J170" s="173"/>
      <c r="K170" s="173"/>
      <c r="L170" s="173"/>
      <c r="M170" s="173"/>
      <c r="N170" s="173"/>
      <c r="O170" s="173"/>
      <c r="P170" s="173"/>
      <c r="Q170" s="173"/>
      <c r="R170" s="173"/>
      <c r="S170" s="173"/>
      <c r="T170" s="173"/>
      <c r="U170" s="56"/>
    </row>
    <row r="171" customFormat="false" ht="20.1" hidden="false" customHeight="true" outlineLevel="0" collapsed="false">
      <c r="B171" s="56"/>
      <c r="D171" s="5"/>
      <c r="E171" s="5"/>
      <c r="F171" s="5"/>
      <c r="G171" s="5"/>
      <c r="H171" s="5"/>
      <c r="I171" s="5"/>
      <c r="J171" s="5"/>
      <c r="U171" s="56"/>
    </row>
    <row r="172" customFormat="false" ht="30" hidden="false" customHeight="true" outlineLevel="0" collapsed="false">
      <c r="B172" s="56"/>
      <c r="C172" s="181"/>
      <c r="D172" s="182" t="s">
        <v>133</v>
      </c>
      <c r="E172" s="182"/>
      <c r="F172" s="182"/>
      <c r="G172" s="182"/>
      <c r="H172" s="182"/>
      <c r="I172" s="182"/>
      <c r="J172" s="182"/>
      <c r="K172" s="182"/>
      <c r="L172" s="182"/>
      <c r="M172" s="182"/>
      <c r="N172" s="182"/>
      <c r="O172" s="182"/>
      <c r="P172" s="182"/>
      <c r="Q172" s="182"/>
      <c r="R172" s="182"/>
      <c r="S172" s="182"/>
      <c r="T172" s="181"/>
      <c r="U172" s="56"/>
    </row>
    <row r="173" customFormat="false" ht="50.1" hidden="false" customHeight="true" outlineLevel="0" collapsed="false">
      <c r="B173" s="56"/>
      <c r="C173" s="181"/>
      <c r="D173" s="183" t="s">
        <v>48</v>
      </c>
      <c r="E173" s="184" t="s">
        <v>49</v>
      </c>
      <c r="F173" s="185" t="s">
        <v>88</v>
      </c>
      <c r="G173" s="186" t="s">
        <v>101</v>
      </c>
      <c r="H173" s="187" t="s">
        <v>102</v>
      </c>
      <c r="I173" s="187"/>
      <c r="J173" s="188" t="s">
        <v>103</v>
      </c>
      <c r="K173" s="189" t="s">
        <v>104</v>
      </c>
      <c r="L173" s="185" t="s">
        <v>105</v>
      </c>
      <c r="M173" s="189" t="s">
        <v>106</v>
      </c>
      <c r="N173" s="185" t="s">
        <v>107</v>
      </c>
      <c r="O173" s="190"/>
      <c r="P173" s="191"/>
      <c r="Q173" s="191"/>
      <c r="R173" s="191"/>
      <c r="S173" s="184" t="s">
        <v>108</v>
      </c>
      <c r="T173" s="181"/>
      <c r="U173" s="56"/>
    </row>
    <row r="174" customFormat="false" ht="20.1" hidden="false" customHeight="true" outlineLevel="0" collapsed="false">
      <c r="B174" s="56"/>
      <c r="C174" s="181"/>
      <c r="D174" s="267" t="s">
        <v>11</v>
      </c>
      <c r="E174" s="268" t="s">
        <v>12</v>
      </c>
      <c r="F174" s="269" t="n">
        <f aca="false">K174*6+L174*3+M174*1+N174*0</f>
        <v>21</v>
      </c>
      <c r="G174" s="270" t="n">
        <v>0</v>
      </c>
      <c r="H174" s="270" t="s">
        <v>62</v>
      </c>
      <c r="I174" s="270"/>
      <c r="J174" s="269" t="n">
        <f aca="false">F174+G174</f>
        <v>21</v>
      </c>
      <c r="K174" s="269" t="n">
        <v>3</v>
      </c>
      <c r="L174" s="269" t="n">
        <v>1</v>
      </c>
      <c r="M174" s="269" t="n">
        <v>0</v>
      </c>
      <c r="N174" s="269" t="n">
        <v>0</v>
      </c>
      <c r="O174" s="271"/>
      <c r="P174" s="270"/>
      <c r="Q174" s="270"/>
      <c r="R174" s="270"/>
      <c r="S174" s="272" t="n">
        <f aca="false">(L138++L147+L156+L165)/4</f>
        <v>99.2424242424243</v>
      </c>
      <c r="T174" s="181"/>
      <c r="U174" s="56"/>
    </row>
    <row r="175" customFormat="false" ht="20.1" hidden="false" customHeight="true" outlineLevel="0" collapsed="false">
      <c r="B175" s="56"/>
      <c r="C175" s="181"/>
      <c r="D175" s="273" t="s">
        <v>24</v>
      </c>
      <c r="E175" s="274" t="s">
        <v>25</v>
      </c>
      <c r="F175" s="275" t="n">
        <f aca="false">K175*6+L175*3+M175*1+N175*0</f>
        <v>8</v>
      </c>
      <c r="G175" s="276" t="n">
        <v>0</v>
      </c>
      <c r="H175" s="276" t="s">
        <v>62</v>
      </c>
      <c r="I175" s="276"/>
      <c r="J175" s="275" t="n">
        <f aca="false">F175+G175</f>
        <v>8</v>
      </c>
      <c r="K175" s="275" t="n">
        <v>0</v>
      </c>
      <c r="L175" s="275" t="n">
        <v>2</v>
      </c>
      <c r="M175" s="275" t="n">
        <v>2</v>
      </c>
      <c r="N175" s="275" t="n">
        <v>0</v>
      </c>
      <c r="O175" s="277"/>
      <c r="P175" s="276"/>
      <c r="Q175" s="276"/>
      <c r="R175" s="276"/>
      <c r="S175" s="278" t="n">
        <f aca="false">(L140+L149+L158+L167)/4</f>
        <v>55.0933837118048</v>
      </c>
      <c r="T175" s="181"/>
      <c r="U175" s="56"/>
      <c r="Y175" s="279"/>
      <c r="Z175" s="279"/>
      <c r="AA175" s="280"/>
      <c r="AB175" s="280"/>
      <c r="AC175" s="281"/>
      <c r="AD175" s="281"/>
      <c r="AE175" s="281"/>
    </row>
    <row r="176" customFormat="false" ht="20.1" hidden="false" customHeight="true" outlineLevel="0" collapsed="false">
      <c r="B176" s="56"/>
      <c r="C176" s="181"/>
      <c r="D176" s="273" t="s">
        <v>159</v>
      </c>
      <c r="E176" s="274" t="s">
        <v>160</v>
      </c>
      <c r="F176" s="275" t="n">
        <f aca="false">K176*6+L176*3+M176*1+N176*0</f>
        <v>6</v>
      </c>
      <c r="G176" s="276" t="n">
        <v>0</v>
      </c>
      <c r="H176" s="276" t="s">
        <v>62</v>
      </c>
      <c r="I176" s="276"/>
      <c r="J176" s="275" t="n">
        <f aca="false">F176+G176</f>
        <v>6</v>
      </c>
      <c r="K176" s="275" t="n">
        <v>1</v>
      </c>
      <c r="L176" s="275" t="n">
        <v>0</v>
      </c>
      <c r="M176" s="275" t="n">
        <v>0</v>
      </c>
      <c r="N176" s="275" t="n">
        <v>3</v>
      </c>
      <c r="O176" s="277"/>
      <c r="P176" s="276"/>
      <c r="Q176" s="276"/>
      <c r="R176" s="276"/>
      <c r="S176" s="278" t="n">
        <f aca="false">(L141+L150+L159+L168)/4</f>
        <v>53.3408173210805</v>
      </c>
      <c r="T176" s="181"/>
      <c r="U176" s="56"/>
    </row>
    <row r="177" customFormat="false" ht="20.1" hidden="false" customHeight="true" outlineLevel="0" collapsed="false">
      <c r="B177" s="56"/>
      <c r="C177" s="181"/>
      <c r="D177" s="282" t="s">
        <v>26</v>
      </c>
      <c r="E177" s="283" t="s">
        <v>27</v>
      </c>
      <c r="F177" s="284" t="n">
        <f aca="false">K177*6+L177*3+M177*1+N177*0</f>
        <v>5</v>
      </c>
      <c r="G177" s="285" t="n">
        <v>0</v>
      </c>
      <c r="H177" s="285" t="s">
        <v>62</v>
      </c>
      <c r="I177" s="285"/>
      <c r="J177" s="284" t="n">
        <f aca="false">F177+G177</f>
        <v>5</v>
      </c>
      <c r="K177" s="284" t="n">
        <v>0</v>
      </c>
      <c r="L177" s="284" t="n">
        <v>1</v>
      </c>
      <c r="M177" s="284" t="n">
        <v>2</v>
      </c>
      <c r="N177" s="284" t="n">
        <v>1</v>
      </c>
      <c r="O177" s="286"/>
      <c r="P177" s="285"/>
      <c r="Q177" s="285"/>
      <c r="R177" s="285"/>
      <c r="S177" s="287" t="n">
        <f aca="false">(L139+L148+L157+L166)/4</f>
        <v>54.8253525227209</v>
      </c>
      <c r="T177" s="181"/>
      <c r="U177" s="56"/>
    </row>
    <row r="178" customFormat="false" ht="20.1" hidden="false" customHeight="true" outlineLevel="0" collapsed="false">
      <c r="B178" s="56"/>
      <c r="C178" s="181"/>
      <c r="D178" s="209"/>
      <c r="E178" s="209"/>
      <c r="F178" s="288"/>
      <c r="G178" s="289"/>
      <c r="H178" s="290"/>
      <c r="I178" s="290"/>
      <c r="J178" s="288"/>
      <c r="K178" s="288"/>
      <c r="L178" s="288"/>
      <c r="M178" s="288"/>
      <c r="N178" s="288"/>
      <c r="O178" s="291"/>
      <c r="P178" s="289"/>
      <c r="Q178" s="289"/>
      <c r="R178" s="289"/>
      <c r="S178" s="292"/>
      <c r="T178" s="181"/>
      <c r="U178" s="56"/>
    </row>
    <row r="179" customFormat="false" ht="20.1" hidden="false" customHeight="true" outlineLevel="0" collapsed="false">
      <c r="B179" s="56"/>
      <c r="C179" s="56"/>
      <c r="D179" s="213"/>
      <c r="E179" s="213"/>
      <c r="F179" s="164"/>
      <c r="G179" s="164"/>
      <c r="H179" s="213"/>
      <c r="I179" s="213"/>
      <c r="J179" s="213"/>
      <c r="K179" s="56"/>
      <c r="L179" s="56"/>
      <c r="M179" s="56"/>
      <c r="N179" s="56"/>
      <c r="O179" s="56"/>
      <c r="P179" s="56"/>
      <c r="Q179" s="56"/>
      <c r="R179" s="56"/>
      <c r="S179" s="56"/>
      <c r="T179" s="56"/>
      <c r="U179" s="56"/>
    </row>
    <row r="180" customFormat="false" ht="20.1" hidden="false" customHeight="true" outlineLevel="0" collapsed="false"/>
    <row r="181" customFormat="false" ht="20.1" hidden="false" customHeight="true" outlineLevel="0" collapsed="false"/>
    <row r="182" customFormat="false" ht="20.1" hidden="false" customHeight="true" outlineLevel="0" collapsed="false">
      <c r="B182" s="56"/>
      <c r="C182" s="56"/>
      <c r="D182" s="57"/>
      <c r="E182" s="57"/>
      <c r="F182" s="57"/>
      <c r="G182" s="57"/>
      <c r="H182" s="56"/>
      <c r="I182" s="56"/>
      <c r="J182" s="56"/>
      <c r="K182" s="56"/>
      <c r="L182" s="56"/>
      <c r="M182" s="56"/>
      <c r="N182" s="56"/>
      <c r="O182" s="56"/>
      <c r="P182" s="56"/>
      <c r="Q182" s="56"/>
      <c r="R182" s="56"/>
      <c r="S182" s="56"/>
      <c r="T182" s="56"/>
      <c r="U182" s="56"/>
    </row>
    <row r="183" customFormat="false" ht="30" hidden="false" customHeight="true" outlineLevel="0" collapsed="false">
      <c r="B183" s="56"/>
      <c r="C183" s="58" t="s">
        <v>208</v>
      </c>
      <c r="D183" s="58"/>
      <c r="E183" s="58"/>
      <c r="F183" s="58"/>
      <c r="G183" s="58"/>
      <c r="H183" s="58"/>
      <c r="I183" s="58"/>
      <c r="J183" s="58"/>
      <c r="K183" s="58"/>
      <c r="L183" s="58"/>
      <c r="M183" s="58"/>
      <c r="N183" s="58"/>
      <c r="O183" s="58"/>
      <c r="P183" s="58"/>
      <c r="Q183" s="58"/>
      <c r="R183" s="58"/>
      <c r="S183" s="58"/>
      <c r="T183" s="58"/>
      <c r="U183" s="56"/>
    </row>
    <row r="184" customFormat="false" ht="20.1" hidden="false" customHeight="true" outlineLevel="0" collapsed="false">
      <c r="B184" s="56"/>
      <c r="U184" s="56"/>
    </row>
    <row r="185" customFormat="false" ht="20.1" hidden="false" customHeight="true" outlineLevel="0" collapsed="false">
      <c r="B185" s="56"/>
      <c r="D185" s="59" t="s">
        <v>48</v>
      </c>
      <c r="E185" s="60" t="s">
        <v>209</v>
      </c>
      <c r="F185" s="61" t="s">
        <v>10</v>
      </c>
      <c r="G185" s="62" t="s">
        <v>50</v>
      </c>
      <c r="H185" s="62"/>
      <c r="I185" s="62"/>
      <c r="J185" s="62"/>
      <c r="K185" s="60" t="s">
        <v>51</v>
      </c>
      <c r="L185" s="62" t="s">
        <v>52</v>
      </c>
      <c r="M185" s="62"/>
      <c r="N185" s="62"/>
      <c r="O185" s="62"/>
      <c r="P185" s="62"/>
      <c r="Q185" s="62"/>
      <c r="R185" s="62"/>
      <c r="S185" s="62"/>
      <c r="U185" s="56"/>
    </row>
    <row r="186" customFormat="false" ht="20.1" hidden="false" customHeight="true" outlineLevel="0" collapsed="false">
      <c r="B186" s="56"/>
      <c r="D186" s="59"/>
      <c r="E186" s="60"/>
      <c r="F186" s="60"/>
      <c r="G186" s="66" t="s">
        <v>53</v>
      </c>
      <c r="H186" s="65" t="s">
        <v>54</v>
      </c>
      <c r="I186" s="61" t="s">
        <v>55</v>
      </c>
      <c r="J186" s="61"/>
      <c r="K186" s="65" t="s">
        <v>56</v>
      </c>
      <c r="L186" s="217" t="s">
        <v>53</v>
      </c>
      <c r="M186" s="218" t="s">
        <v>57</v>
      </c>
      <c r="N186" s="61" t="s">
        <v>55</v>
      </c>
      <c r="O186" s="61"/>
      <c r="P186" s="61"/>
      <c r="Q186" s="61"/>
      <c r="R186" s="61"/>
      <c r="S186" s="61"/>
      <c r="U186" s="56"/>
    </row>
    <row r="187" customFormat="false" ht="27.95" hidden="false" customHeight="true" outlineLevel="0" collapsed="false">
      <c r="B187" s="56"/>
      <c r="D187" s="67" t="s">
        <v>33</v>
      </c>
      <c r="E187" s="332" t="s">
        <v>34</v>
      </c>
      <c r="F187" s="350" t="n">
        <v>1</v>
      </c>
      <c r="G187" s="68" t="s">
        <v>58</v>
      </c>
      <c r="H187" s="293" t="s">
        <v>227</v>
      </c>
      <c r="I187" s="70" t="s">
        <v>141</v>
      </c>
      <c r="J187" s="70"/>
      <c r="K187" s="430" t="s">
        <v>113</v>
      </c>
      <c r="L187" s="413" t="s">
        <v>62</v>
      </c>
      <c r="M187" s="73" t="s">
        <v>62</v>
      </c>
      <c r="N187" s="74" t="s">
        <v>62</v>
      </c>
      <c r="O187" s="74"/>
      <c r="P187" s="74"/>
      <c r="Q187" s="74"/>
      <c r="R187" s="74"/>
      <c r="S187" s="74"/>
      <c r="U187" s="56"/>
    </row>
    <row r="188" customFormat="false" ht="15" hidden="false" customHeight="true" outlineLevel="0" collapsed="false">
      <c r="B188" s="56"/>
      <c r="D188" s="67"/>
      <c r="E188" s="332"/>
      <c r="F188" s="350"/>
      <c r="G188" s="68"/>
      <c r="H188" s="293"/>
      <c r="I188" s="75" t="s">
        <v>63</v>
      </c>
      <c r="J188" s="75"/>
      <c r="K188" s="430"/>
      <c r="L188" s="413"/>
      <c r="M188" s="73"/>
      <c r="N188" s="73"/>
      <c r="O188" s="74"/>
      <c r="P188" s="74"/>
      <c r="Q188" s="74"/>
      <c r="R188" s="74"/>
      <c r="S188" s="74"/>
      <c r="U188" s="56"/>
    </row>
    <row r="189" customFormat="false" ht="15" hidden="false" customHeight="true" outlineLevel="0" collapsed="false">
      <c r="B189" s="56"/>
      <c r="D189" s="67"/>
      <c r="E189" s="332"/>
      <c r="F189" s="350"/>
      <c r="G189" s="68"/>
      <c r="H189" s="293"/>
      <c r="I189" s="76" t="s">
        <v>64</v>
      </c>
      <c r="J189" s="76"/>
      <c r="K189" s="430"/>
      <c r="L189" s="413"/>
      <c r="M189" s="73"/>
      <c r="N189" s="73"/>
      <c r="O189" s="74"/>
      <c r="P189" s="74"/>
      <c r="Q189" s="74"/>
      <c r="R189" s="74"/>
      <c r="S189" s="74"/>
      <c r="U189" s="56"/>
    </row>
    <row r="190" customFormat="false" ht="15" hidden="false" customHeight="true" outlineLevel="0" collapsed="false">
      <c r="B190" s="56"/>
      <c r="D190" s="77" t="s">
        <v>35</v>
      </c>
      <c r="E190" s="32" t="s">
        <v>36</v>
      </c>
      <c r="F190" s="366" t="n">
        <v>2</v>
      </c>
      <c r="G190" s="78" t="s">
        <v>110</v>
      </c>
      <c r="H190" s="79" t="s">
        <v>190</v>
      </c>
      <c r="I190" s="80" t="s">
        <v>357</v>
      </c>
      <c r="J190" s="80"/>
      <c r="K190" s="300" t="s">
        <v>113</v>
      </c>
      <c r="L190" s="82" t="s">
        <v>62</v>
      </c>
      <c r="M190" s="297" t="s">
        <v>62</v>
      </c>
      <c r="N190" s="298" t="s">
        <v>62</v>
      </c>
      <c r="O190" s="298"/>
      <c r="P190" s="298"/>
      <c r="Q190" s="298"/>
      <c r="R190" s="298"/>
      <c r="S190" s="298"/>
      <c r="U190" s="56"/>
    </row>
    <row r="191" customFormat="false" ht="15" hidden="false" customHeight="true" outlineLevel="0" collapsed="false">
      <c r="B191" s="56"/>
      <c r="D191" s="77"/>
      <c r="E191" s="32"/>
      <c r="F191" s="366"/>
      <c r="G191" s="78"/>
      <c r="H191" s="79"/>
      <c r="I191" s="86" t="s">
        <v>358</v>
      </c>
      <c r="J191" s="86"/>
      <c r="K191" s="300"/>
      <c r="L191" s="82"/>
      <c r="M191" s="297"/>
      <c r="N191" s="297"/>
      <c r="O191" s="298"/>
      <c r="P191" s="298"/>
      <c r="Q191" s="298"/>
      <c r="R191" s="298"/>
      <c r="S191" s="298"/>
      <c r="U191" s="56"/>
    </row>
    <row r="192" customFormat="false" ht="15" hidden="false" customHeight="true" outlineLevel="0" collapsed="false">
      <c r="B192" s="56"/>
      <c r="D192" s="97" t="s">
        <v>28</v>
      </c>
      <c r="E192" s="40" t="s">
        <v>29</v>
      </c>
      <c r="F192" s="44" t="n">
        <v>3</v>
      </c>
      <c r="G192" s="334" t="s">
        <v>58</v>
      </c>
      <c r="H192" s="431" t="s">
        <v>359</v>
      </c>
      <c r="I192" s="91" t="s">
        <v>360</v>
      </c>
      <c r="J192" s="91"/>
      <c r="K192" s="432" t="s">
        <v>190</v>
      </c>
      <c r="L192" s="433" t="s">
        <v>62</v>
      </c>
      <c r="M192" s="241" t="s">
        <v>62</v>
      </c>
      <c r="N192" s="242" t="s">
        <v>62</v>
      </c>
      <c r="O192" s="242"/>
      <c r="P192" s="242"/>
      <c r="Q192" s="242"/>
      <c r="R192" s="242"/>
      <c r="S192" s="242"/>
      <c r="U192" s="56"/>
    </row>
    <row r="193" customFormat="false" ht="30" hidden="false" customHeight="true" outlineLevel="0" collapsed="false">
      <c r="B193" s="56"/>
      <c r="D193" s="97"/>
      <c r="E193" s="40"/>
      <c r="F193" s="44"/>
      <c r="G193" s="334"/>
      <c r="H193" s="431"/>
      <c r="I193" s="96" t="s">
        <v>361</v>
      </c>
      <c r="J193" s="96"/>
      <c r="K193" s="432"/>
      <c r="L193" s="433"/>
      <c r="M193" s="241"/>
      <c r="N193" s="242"/>
      <c r="O193" s="242"/>
      <c r="P193" s="242"/>
      <c r="Q193" s="242"/>
      <c r="R193" s="242"/>
      <c r="S193" s="242"/>
      <c r="U193" s="56"/>
    </row>
    <row r="194" customFormat="false" ht="15" hidden="false" customHeight="true" outlineLevel="0" collapsed="false">
      <c r="B194" s="56"/>
      <c r="D194" s="97"/>
      <c r="E194" s="40"/>
      <c r="F194" s="44"/>
      <c r="G194" s="334"/>
      <c r="H194" s="431"/>
      <c r="I194" s="96" t="s">
        <v>362</v>
      </c>
      <c r="J194" s="96"/>
      <c r="K194" s="432"/>
      <c r="L194" s="433"/>
      <c r="M194" s="241"/>
      <c r="N194" s="242"/>
      <c r="O194" s="242"/>
      <c r="P194" s="242"/>
      <c r="Q194" s="242"/>
      <c r="R194" s="242"/>
      <c r="S194" s="242"/>
      <c r="U194" s="56"/>
    </row>
    <row r="195" customFormat="false" ht="15" hidden="false" customHeight="true" outlineLevel="0" collapsed="false">
      <c r="B195" s="56"/>
      <c r="D195" s="97"/>
      <c r="E195" s="40"/>
      <c r="F195" s="44"/>
      <c r="G195" s="334"/>
      <c r="H195" s="431"/>
      <c r="I195" s="96" t="s">
        <v>363</v>
      </c>
      <c r="J195" s="96"/>
      <c r="K195" s="432"/>
      <c r="L195" s="433"/>
      <c r="M195" s="241"/>
      <c r="N195" s="242"/>
      <c r="O195" s="242"/>
      <c r="P195" s="242"/>
      <c r="Q195" s="242"/>
      <c r="R195" s="242"/>
      <c r="S195" s="242"/>
      <c r="U195" s="56"/>
    </row>
    <row r="196" customFormat="false" ht="30" hidden="false" customHeight="true" outlineLevel="0" collapsed="false">
      <c r="B196" s="56"/>
      <c r="D196" s="97"/>
      <c r="E196" s="40"/>
      <c r="F196" s="44"/>
      <c r="G196" s="334"/>
      <c r="H196" s="431"/>
      <c r="I196" s="96" t="s">
        <v>364</v>
      </c>
      <c r="J196" s="96"/>
      <c r="K196" s="432"/>
      <c r="L196" s="433"/>
      <c r="M196" s="241"/>
      <c r="N196" s="242"/>
      <c r="O196" s="242"/>
      <c r="P196" s="242"/>
      <c r="Q196" s="242"/>
      <c r="R196" s="242"/>
      <c r="S196" s="242"/>
      <c r="U196" s="56"/>
    </row>
    <row r="197" customFormat="false" ht="45" hidden="false" customHeight="true" outlineLevel="0" collapsed="false">
      <c r="B197" s="56"/>
      <c r="D197" s="97"/>
      <c r="E197" s="40"/>
      <c r="F197" s="44"/>
      <c r="G197" s="334"/>
      <c r="H197" s="431"/>
      <c r="I197" s="96" t="s">
        <v>365</v>
      </c>
      <c r="J197" s="96"/>
      <c r="K197" s="432"/>
      <c r="L197" s="433"/>
      <c r="M197" s="241"/>
      <c r="N197" s="242"/>
      <c r="O197" s="242"/>
      <c r="P197" s="242"/>
      <c r="Q197" s="242"/>
      <c r="R197" s="242"/>
      <c r="S197" s="242"/>
      <c r="U197" s="56"/>
    </row>
    <row r="198" customFormat="false" ht="30" hidden="false" customHeight="true" outlineLevel="0" collapsed="false">
      <c r="B198" s="56"/>
      <c r="D198" s="97"/>
      <c r="E198" s="40"/>
      <c r="F198" s="44"/>
      <c r="G198" s="334"/>
      <c r="H198" s="431"/>
      <c r="I198" s="336" t="s">
        <v>366</v>
      </c>
      <c r="J198" s="336"/>
      <c r="K198" s="432"/>
      <c r="L198" s="433"/>
      <c r="M198" s="241"/>
      <c r="N198" s="242"/>
      <c r="O198" s="242"/>
      <c r="P198" s="242"/>
      <c r="Q198" s="242"/>
      <c r="R198" s="242"/>
      <c r="S198" s="242"/>
      <c r="U198" s="56"/>
    </row>
    <row r="199" customFormat="false" ht="20.1" hidden="false" customHeight="true" outlineLevel="0" collapsed="false">
      <c r="B199" s="56"/>
      <c r="U199" s="56"/>
    </row>
    <row r="200" customFormat="false" ht="20.1" hidden="false" customHeight="true" outlineLevel="0" collapsed="false">
      <c r="B200" s="56"/>
      <c r="C200" s="106"/>
      <c r="D200" s="106"/>
      <c r="E200" s="107" t="str">
        <f aca="false">IF(OR(L187="-",L187= ""),H187,L187)</f>
        <v>Die Burgen von Burgund</v>
      </c>
      <c r="F200" s="107"/>
      <c r="G200" s="107"/>
      <c r="H200" s="107"/>
      <c r="I200" s="107"/>
      <c r="J200" s="107"/>
      <c r="K200" s="107"/>
      <c r="L200" s="107"/>
      <c r="M200" s="107"/>
      <c r="N200" s="107"/>
      <c r="O200" s="108"/>
      <c r="P200" s="108"/>
      <c r="Q200" s="108"/>
      <c r="R200" s="108"/>
      <c r="S200" s="108"/>
      <c r="T200" s="106"/>
      <c r="U200" s="56"/>
    </row>
    <row r="201" customFormat="false" ht="50.1" hidden="false" customHeight="true" outlineLevel="0" collapsed="false">
      <c r="B201" s="56"/>
      <c r="C201" s="106"/>
      <c r="D201" s="108"/>
      <c r="E201" s="59" t="s">
        <v>48</v>
      </c>
      <c r="F201" s="109" t="s">
        <v>80</v>
      </c>
      <c r="G201" s="61" t="s">
        <v>81</v>
      </c>
      <c r="H201" s="60" t="s">
        <v>82</v>
      </c>
      <c r="I201" s="6" t="s">
        <v>83</v>
      </c>
      <c r="J201" s="60" t="s">
        <v>84</v>
      </c>
      <c r="K201" s="110" t="s">
        <v>85</v>
      </c>
      <c r="L201" s="60" t="s">
        <v>86</v>
      </c>
      <c r="M201" s="111" t="s">
        <v>87</v>
      </c>
      <c r="N201" s="61" t="s">
        <v>88</v>
      </c>
      <c r="O201" s="112" t="s">
        <v>89</v>
      </c>
      <c r="P201" s="113" t="s">
        <v>90</v>
      </c>
      <c r="Q201" s="113" t="s">
        <v>91</v>
      </c>
      <c r="R201" s="108"/>
      <c r="S201" s="108"/>
      <c r="T201" s="106"/>
      <c r="U201" s="56"/>
    </row>
    <row r="202" customFormat="false" ht="20.1" hidden="false" customHeight="true" outlineLevel="0" collapsed="false">
      <c r="B202" s="56"/>
      <c r="C202" s="106"/>
      <c r="D202" s="131"/>
      <c r="E202" s="67" t="s">
        <v>33</v>
      </c>
      <c r="F202" s="14" t="s">
        <v>34</v>
      </c>
      <c r="G202" s="258" t="n">
        <v>2</v>
      </c>
      <c r="H202" s="304" t="s">
        <v>93</v>
      </c>
      <c r="I202" s="304" t="n">
        <v>0</v>
      </c>
      <c r="J202" s="258" t="n">
        <v>189</v>
      </c>
      <c r="K202" s="258" t="s">
        <v>62</v>
      </c>
      <c r="L202" s="259" t="n">
        <f aca="false">IF(J202="",0,(J202/J205)*100)</f>
        <v>83.6283185840708</v>
      </c>
      <c r="M202" s="258" t="n">
        <v>2</v>
      </c>
      <c r="N202" s="260" t="n">
        <v>3</v>
      </c>
      <c r="O202" s="116" t="n">
        <f aca="false">IF(M202=1,1,0)</f>
        <v>0</v>
      </c>
      <c r="P202" s="117" t="n">
        <f aca="false">IF(M202=2,1,0)</f>
        <v>1</v>
      </c>
      <c r="Q202" s="118" t="n">
        <f aca="false">IF(M202=3,1,0)</f>
        <v>0</v>
      </c>
      <c r="R202" s="119"/>
      <c r="S202" s="119"/>
      <c r="T202" s="106"/>
      <c r="U202" s="56"/>
    </row>
    <row r="203" customFormat="false" ht="20.1" hidden="false" customHeight="true" outlineLevel="0" collapsed="false">
      <c r="B203" s="56"/>
      <c r="C203" s="106"/>
      <c r="D203" s="106"/>
      <c r="E203" s="126" t="s">
        <v>35</v>
      </c>
      <c r="F203" s="127" t="s">
        <v>36</v>
      </c>
      <c r="G203" s="128" t="n">
        <v>3</v>
      </c>
      <c r="H203" s="305" t="s">
        <v>93</v>
      </c>
      <c r="I203" s="305" t="n">
        <v>0</v>
      </c>
      <c r="J203" s="128" t="n">
        <v>226</v>
      </c>
      <c r="K203" s="305" t="s">
        <v>62</v>
      </c>
      <c r="L203" s="129" t="n">
        <f aca="false">IF(J203="",0,(J203/J205)*100)</f>
        <v>100</v>
      </c>
      <c r="M203" s="128" t="n">
        <v>1</v>
      </c>
      <c r="N203" s="130" t="n">
        <v>6</v>
      </c>
      <c r="O203" s="123" t="n">
        <f aca="false">IF(M203=1,1,0)</f>
        <v>1</v>
      </c>
      <c r="P203" s="124" t="n">
        <f aca="false">IF(M203=2,1,0)</f>
        <v>0</v>
      </c>
      <c r="Q203" s="125" t="n">
        <f aca="false">IF(M203=3,1,0)</f>
        <v>0</v>
      </c>
      <c r="R203" s="119"/>
      <c r="S203" s="119"/>
      <c r="T203" s="106"/>
      <c r="U203" s="56"/>
    </row>
    <row r="204" customFormat="false" ht="20.1" hidden="false" customHeight="true" outlineLevel="0" collapsed="false">
      <c r="B204" s="56"/>
      <c r="C204" s="106"/>
      <c r="D204" s="106"/>
      <c r="E204" s="236" t="s">
        <v>28</v>
      </c>
      <c r="F204" s="39" t="s">
        <v>29</v>
      </c>
      <c r="G204" s="253" t="n">
        <v>1</v>
      </c>
      <c r="H204" s="254" t="s">
        <v>151</v>
      </c>
      <c r="I204" s="254" t="n">
        <v>0</v>
      </c>
      <c r="J204" s="253" t="n">
        <v>179</v>
      </c>
      <c r="K204" s="253" t="s">
        <v>62</v>
      </c>
      <c r="L204" s="255" t="n">
        <f aca="false">IF(J204="",0,(J204/J205)*100)</f>
        <v>79.2035398230089</v>
      </c>
      <c r="M204" s="253" t="n">
        <v>3</v>
      </c>
      <c r="N204" s="256" t="n">
        <v>0</v>
      </c>
      <c r="O204" s="135" t="n">
        <f aca="false">IF(M204=1,1,0)</f>
        <v>0</v>
      </c>
      <c r="P204" s="136" t="n">
        <f aca="false">IF(M204=2,1,0)</f>
        <v>0</v>
      </c>
      <c r="Q204" s="137" t="n">
        <f aca="false">IF(M204=3,1,0)</f>
        <v>1</v>
      </c>
      <c r="R204" s="119"/>
      <c r="S204" s="119"/>
      <c r="T204" s="106"/>
      <c r="U204" s="56"/>
    </row>
    <row r="205" customFormat="false" ht="20.1" hidden="true" customHeight="true" outlineLevel="1" collapsed="false">
      <c r="B205" s="56"/>
      <c r="C205" s="106"/>
      <c r="D205" s="131"/>
      <c r="E205" s="131"/>
      <c r="F205" s="139"/>
      <c r="G205" s="139"/>
      <c r="H205" s="106"/>
      <c r="I205" s="170" t="s">
        <v>94</v>
      </c>
      <c r="J205" s="141" t="n">
        <f aca="false">MAX(J202:J204)</f>
        <v>226</v>
      </c>
      <c r="K205" s="257"/>
      <c r="L205" s="147"/>
      <c r="M205" s="106"/>
      <c r="N205" s="144" t="s">
        <v>95</v>
      </c>
      <c r="O205" s="145" t="n">
        <f aca="false">SUM(O202:O204)</f>
        <v>1</v>
      </c>
      <c r="P205" s="146" t="n">
        <f aca="false">SUM(P202:P204)</f>
        <v>1</v>
      </c>
      <c r="Q205" s="145" t="n">
        <f aca="false">SUM(Q202:Q204)</f>
        <v>1</v>
      </c>
      <c r="R205" s="158" t="n">
        <f aca="false">SUM(R202:R204)</f>
        <v>0</v>
      </c>
      <c r="S205" s="147"/>
      <c r="T205" s="106"/>
      <c r="U205" s="56"/>
    </row>
    <row r="206" customFormat="false" ht="20.1" hidden="false" customHeight="true" outlineLevel="0" collapsed="false">
      <c r="B206" s="56"/>
      <c r="C206" s="106"/>
      <c r="D206" s="106"/>
      <c r="E206" s="106"/>
      <c r="F206" s="106"/>
      <c r="G206" s="106"/>
      <c r="H206" s="106"/>
      <c r="I206" s="106"/>
      <c r="J206" s="106"/>
      <c r="K206" s="106"/>
      <c r="L206" s="106"/>
      <c r="M206" s="106"/>
      <c r="N206" s="106"/>
      <c r="O206" s="106"/>
      <c r="P206" s="106"/>
      <c r="Q206" s="106"/>
      <c r="R206" s="106"/>
      <c r="S206" s="106"/>
      <c r="T206" s="106"/>
      <c r="U206" s="56"/>
    </row>
    <row r="207" customFormat="false" ht="20.1" hidden="false" customHeight="true" outlineLevel="0" collapsed="false">
      <c r="B207" s="56"/>
      <c r="U207" s="56"/>
    </row>
    <row r="208" customFormat="false" ht="20.1" hidden="false" customHeight="true" outlineLevel="0" collapsed="false">
      <c r="B208" s="56"/>
      <c r="C208" s="149"/>
      <c r="D208" s="149"/>
      <c r="E208" s="150" t="str">
        <f aca="false">IF(OR(L190="-",L190= ""),H190,L190)</f>
        <v>Photosynthese</v>
      </c>
      <c r="F208" s="150"/>
      <c r="G208" s="150"/>
      <c r="H208" s="150"/>
      <c r="I208" s="150"/>
      <c r="J208" s="150"/>
      <c r="K208" s="150"/>
      <c r="L208" s="150"/>
      <c r="M208" s="150"/>
      <c r="N208" s="150"/>
      <c r="O208" s="151"/>
      <c r="P208" s="151"/>
      <c r="Q208" s="151"/>
      <c r="R208" s="151"/>
      <c r="S208" s="151"/>
      <c r="T208" s="149"/>
      <c r="U208" s="56"/>
    </row>
    <row r="209" customFormat="false" ht="50.1" hidden="false" customHeight="true" outlineLevel="0" collapsed="false">
      <c r="B209" s="56"/>
      <c r="C209" s="149"/>
      <c r="D209" s="151"/>
      <c r="E209" s="59" t="s">
        <v>48</v>
      </c>
      <c r="F209" s="109" t="s">
        <v>80</v>
      </c>
      <c r="G209" s="61" t="s">
        <v>81</v>
      </c>
      <c r="H209" s="60" t="s">
        <v>82</v>
      </c>
      <c r="I209" s="6" t="s">
        <v>83</v>
      </c>
      <c r="J209" s="60" t="s">
        <v>84</v>
      </c>
      <c r="K209" s="110" t="s">
        <v>85</v>
      </c>
      <c r="L209" s="60" t="s">
        <v>86</v>
      </c>
      <c r="M209" s="111" t="s">
        <v>87</v>
      </c>
      <c r="N209" s="61" t="s">
        <v>88</v>
      </c>
      <c r="O209" s="112" t="s">
        <v>89</v>
      </c>
      <c r="P209" s="113" t="s">
        <v>90</v>
      </c>
      <c r="Q209" s="113" t="s">
        <v>91</v>
      </c>
      <c r="R209" s="151"/>
      <c r="S209" s="151"/>
      <c r="T209" s="149"/>
      <c r="U209" s="56"/>
    </row>
    <row r="210" customFormat="false" ht="20.1" hidden="false" customHeight="true" outlineLevel="0" collapsed="false">
      <c r="B210" s="56"/>
      <c r="C210" s="149"/>
      <c r="D210" s="153"/>
      <c r="E210" s="67" t="s">
        <v>33</v>
      </c>
      <c r="F210" s="14" t="s">
        <v>34</v>
      </c>
      <c r="G210" s="258" t="n">
        <v>1</v>
      </c>
      <c r="H210" s="304" t="s">
        <v>62</v>
      </c>
      <c r="I210" s="304" t="n">
        <v>0</v>
      </c>
      <c r="J210" s="258" t="n">
        <v>77</v>
      </c>
      <c r="K210" s="258" t="s">
        <v>62</v>
      </c>
      <c r="L210" s="259" t="n">
        <f aca="false">IF(J210="",0,(J210/J213)*100)</f>
        <v>74.0384615384616</v>
      </c>
      <c r="M210" s="258" t="n">
        <v>2</v>
      </c>
      <c r="N210" s="260" t="n">
        <v>3</v>
      </c>
      <c r="O210" s="116" t="n">
        <f aca="false">IF(M210=1,1,0)</f>
        <v>0</v>
      </c>
      <c r="P210" s="117" t="n">
        <f aca="false">IF(M210=2,1,0)</f>
        <v>1</v>
      </c>
      <c r="Q210" s="118" t="n">
        <f aca="false">IF(M210=3,1,0)</f>
        <v>0</v>
      </c>
      <c r="R210" s="152"/>
      <c r="S210" s="152"/>
      <c r="T210" s="149"/>
      <c r="U210" s="56"/>
    </row>
    <row r="211" customFormat="false" ht="20.1" hidden="false" customHeight="true" outlineLevel="0" collapsed="false">
      <c r="B211" s="56"/>
      <c r="C211" s="149"/>
      <c r="D211" s="149"/>
      <c r="E211" s="126" t="s">
        <v>35</v>
      </c>
      <c r="F211" s="127" t="s">
        <v>36</v>
      </c>
      <c r="G211" s="128" t="n">
        <v>2</v>
      </c>
      <c r="H211" s="305" t="s">
        <v>62</v>
      </c>
      <c r="I211" s="305" t="n">
        <v>0</v>
      </c>
      <c r="J211" s="128" t="n">
        <v>104</v>
      </c>
      <c r="K211" s="305" t="s">
        <v>62</v>
      </c>
      <c r="L211" s="129" t="n">
        <f aca="false">IF(J211="",0,(J211/J213)*100)</f>
        <v>100</v>
      </c>
      <c r="M211" s="128" t="n">
        <v>1</v>
      </c>
      <c r="N211" s="130" t="n">
        <v>6</v>
      </c>
      <c r="O211" s="123" t="n">
        <f aca="false">IF(M211=1,1,0)</f>
        <v>1</v>
      </c>
      <c r="P211" s="124" t="n">
        <f aca="false">IF(M211=2,1,0)</f>
        <v>0</v>
      </c>
      <c r="Q211" s="125" t="n">
        <f aca="false">IF(M211=3,1,0)</f>
        <v>0</v>
      </c>
      <c r="R211" s="152"/>
      <c r="S211" s="152"/>
      <c r="T211" s="149"/>
      <c r="U211" s="56"/>
    </row>
    <row r="212" customFormat="false" ht="20.1" hidden="false" customHeight="true" outlineLevel="0" collapsed="false">
      <c r="B212" s="56"/>
      <c r="C212" s="149"/>
      <c r="D212" s="153"/>
      <c r="E212" s="236" t="s">
        <v>28</v>
      </c>
      <c r="F212" s="39" t="s">
        <v>29</v>
      </c>
      <c r="G212" s="253" t="n">
        <v>3</v>
      </c>
      <c r="H212" s="254" t="s">
        <v>62</v>
      </c>
      <c r="I212" s="254" t="n">
        <v>0</v>
      </c>
      <c r="J212" s="253" t="n">
        <v>74</v>
      </c>
      <c r="K212" s="253" t="s">
        <v>62</v>
      </c>
      <c r="L212" s="255" t="n">
        <f aca="false">IF(J212="",0,(J212/J213)*100)</f>
        <v>71.1538461538462</v>
      </c>
      <c r="M212" s="253" t="n">
        <v>3</v>
      </c>
      <c r="N212" s="256" t="n">
        <v>0</v>
      </c>
      <c r="O212" s="135" t="n">
        <f aca="false">IF(M212=1,1,0)</f>
        <v>0</v>
      </c>
      <c r="P212" s="136" t="n">
        <f aca="false">IF(M212=2,1,0)</f>
        <v>0</v>
      </c>
      <c r="Q212" s="137" t="n">
        <f aca="false">IF(M212=3,1,0)</f>
        <v>1</v>
      </c>
      <c r="R212" s="152"/>
      <c r="S212" s="152"/>
      <c r="T212" s="149"/>
      <c r="U212" s="56"/>
    </row>
    <row r="213" customFormat="false" ht="20.1" hidden="true" customHeight="true" outlineLevel="1" collapsed="false">
      <c r="B213" s="56"/>
      <c r="C213" s="149"/>
      <c r="D213" s="149"/>
      <c r="E213" s="149"/>
      <c r="F213" s="155"/>
      <c r="G213" s="155"/>
      <c r="H213" s="149"/>
      <c r="I213" s="170" t="s">
        <v>94</v>
      </c>
      <c r="J213" s="141" t="n">
        <f aca="false">MAX(J210:J212)</f>
        <v>104</v>
      </c>
      <c r="K213" s="157"/>
      <c r="L213" s="152"/>
      <c r="M213" s="149"/>
      <c r="N213" s="144" t="s">
        <v>95</v>
      </c>
      <c r="O213" s="145" t="n">
        <f aca="false">SUM(O210:O212)</f>
        <v>1</v>
      </c>
      <c r="P213" s="146" t="n">
        <f aca="false">SUM(P210:P212)</f>
        <v>1</v>
      </c>
      <c r="Q213" s="145" t="n">
        <f aca="false">SUM(Q210:Q212)</f>
        <v>1</v>
      </c>
      <c r="R213" s="158" t="n">
        <f aca="false">SUM(R210:R212)</f>
        <v>0</v>
      </c>
      <c r="S213" s="159"/>
      <c r="T213" s="149"/>
      <c r="U213" s="56"/>
    </row>
    <row r="214" customFormat="false" ht="20.1" hidden="false" customHeight="true" outlineLevel="0" collapsed="false">
      <c r="B214" s="56"/>
      <c r="C214" s="149"/>
      <c r="D214" s="149"/>
      <c r="E214" s="149"/>
      <c r="F214" s="149"/>
      <c r="G214" s="149"/>
      <c r="H214" s="149"/>
      <c r="I214" s="149"/>
      <c r="J214" s="149"/>
      <c r="K214" s="149"/>
      <c r="L214" s="149"/>
      <c r="M214" s="149"/>
      <c r="N214" s="149"/>
      <c r="O214" s="149"/>
      <c r="P214" s="149"/>
      <c r="Q214" s="149"/>
      <c r="R214" s="149"/>
      <c r="S214" s="149"/>
      <c r="T214" s="149"/>
      <c r="U214" s="56"/>
    </row>
    <row r="215" customFormat="false" ht="20.1" hidden="false" customHeight="true" outlineLevel="0" collapsed="false">
      <c r="B215" s="56"/>
      <c r="D215" s="45"/>
      <c r="E215" s="45"/>
      <c r="F215" s="45"/>
      <c r="G215" s="45"/>
      <c r="H215" s="160"/>
      <c r="I215" s="45"/>
      <c r="J215" s="45"/>
      <c r="U215" s="56"/>
    </row>
    <row r="216" customFormat="false" ht="20.1" hidden="false" customHeight="true" outlineLevel="0" collapsed="false">
      <c r="B216" s="56"/>
      <c r="C216" s="161"/>
      <c r="D216" s="161"/>
      <c r="E216" s="162" t="str">
        <f aca="false">IF(OR(L192="-",L192= ""),H192,L192)</f>
        <v>Carcassonne</v>
      </c>
      <c r="F216" s="162"/>
      <c r="G216" s="162"/>
      <c r="H216" s="162"/>
      <c r="I216" s="162"/>
      <c r="J216" s="162"/>
      <c r="K216" s="162"/>
      <c r="L216" s="162"/>
      <c r="M216" s="162"/>
      <c r="N216" s="162"/>
      <c r="O216" s="163"/>
      <c r="P216" s="163"/>
      <c r="Q216" s="163"/>
      <c r="R216" s="163"/>
      <c r="S216" s="163"/>
      <c r="T216" s="161"/>
      <c r="U216" s="164"/>
    </row>
    <row r="217" customFormat="false" ht="50.1" hidden="false" customHeight="true" outlineLevel="0" collapsed="false">
      <c r="B217" s="56"/>
      <c r="C217" s="161"/>
      <c r="D217" s="163"/>
      <c r="E217" s="59" t="s">
        <v>48</v>
      </c>
      <c r="F217" s="109" t="s">
        <v>80</v>
      </c>
      <c r="G217" s="61" t="s">
        <v>81</v>
      </c>
      <c r="H217" s="60" t="s">
        <v>82</v>
      </c>
      <c r="I217" s="6" t="s">
        <v>83</v>
      </c>
      <c r="J217" s="60" t="s">
        <v>84</v>
      </c>
      <c r="K217" s="110" t="s">
        <v>85</v>
      </c>
      <c r="L217" s="60" t="s">
        <v>86</v>
      </c>
      <c r="M217" s="111" t="s">
        <v>87</v>
      </c>
      <c r="N217" s="61" t="s">
        <v>88</v>
      </c>
      <c r="O217" s="112" t="s">
        <v>89</v>
      </c>
      <c r="P217" s="113" t="s">
        <v>90</v>
      </c>
      <c r="Q217" s="113" t="s">
        <v>91</v>
      </c>
      <c r="R217" s="163"/>
      <c r="S217" s="163"/>
      <c r="T217" s="161"/>
      <c r="U217" s="164"/>
    </row>
    <row r="218" customFormat="false" ht="20.1" hidden="false" customHeight="true" outlineLevel="0" collapsed="false">
      <c r="B218" s="56"/>
      <c r="C218" s="161"/>
      <c r="D218" s="167"/>
      <c r="E218" s="243" t="s">
        <v>33</v>
      </c>
      <c r="F218" s="244" t="s">
        <v>34</v>
      </c>
      <c r="G218" s="245" t="n">
        <v>2</v>
      </c>
      <c r="H218" s="328" t="s">
        <v>62</v>
      </c>
      <c r="I218" s="328" t="n">
        <v>0</v>
      </c>
      <c r="J218" s="245" t="n">
        <v>80</v>
      </c>
      <c r="K218" s="245" t="s">
        <v>62</v>
      </c>
      <c r="L218" s="246" t="n">
        <f aca="false">IF(J218="",0,(J218/J221)*100)</f>
        <v>100</v>
      </c>
      <c r="M218" s="245" t="n">
        <v>1</v>
      </c>
      <c r="N218" s="247" t="n">
        <v>6</v>
      </c>
      <c r="O218" s="117" t="n">
        <f aca="false">IF(M218=1,1,0)</f>
        <v>1</v>
      </c>
      <c r="P218" s="117" t="n">
        <f aca="false">IF(M218=2,1,0)</f>
        <v>0</v>
      </c>
      <c r="Q218" s="118" t="n">
        <f aca="false">IF(M218=3,1,0)</f>
        <v>0</v>
      </c>
      <c r="R218" s="166"/>
      <c r="S218" s="166"/>
      <c r="T218" s="161"/>
      <c r="U218" s="56"/>
    </row>
    <row r="219" customFormat="false" ht="20.1" hidden="false" customHeight="true" outlineLevel="0" collapsed="false">
      <c r="B219" s="56"/>
      <c r="C219" s="161"/>
      <c r="D219" s="161"/>
      <c r="E219" s="77" t="s">
        <v>35</v>
      </c>
      <c r="F219" s="29" t="s">
        <v>36</v>
      </c>
      <c r="G219" s="248" t="n">
        <v>3</v>
      </c>
      <c r="H219" s="249" t="s">
        <v>62</v>
      </c>
      <c r="I219" s="249" t="n">
        <v>0</v>
      </c>
      <c r="J219" s="248" t="n">
        <v>68</v>
      </c>
      <c r="K219" s="249" t="s">
        <v>62</v>
      </c>
      <c r="L219" s="250" t="n">
        <f aca="false">IF(J219="",0,(J219/J221)*100)</f>
        <v>85</v>
      </c>
      <c r="M219" s="248" t="n">
        <v>3</v>
      </c>
      <c r="N219" s="251" t="n">
        <v>0</v>
      </c>
      <c r="O219" s="124" t="n">
        <f aca="false">IF(M219=1,1,0)</f>
        <v>0</v>
      </c>
      <c r="P219" s="124" t="n">
        <f aca="false">IF(M219=2,1,0)</f>
        <v>0</v>
      </c>
      <c r="Q219" s="125" t="n">
        <f aca="false">IF(M219=3,1,0)</f>
        <v>1</v>
      </c>
      <c r="R219" s="166"/>
      <c r="S219" s="166"/>
      <c r="T219" s="161"/>
      <c r="U219" s="168"/>
    </row>
    <row r="220" customFormat="false" ht="20.1" hidden="false" customHeight="true" outlineLevel="0" collapsed="false">
      <c r="B220" s="56"/>
      <c r="C220" s="161"/>
      <c r="D220" s="161"/>
      <c r="E220" s="236" t="s">
        <v>28</v>
      </c>
      <c r="F220" s="39" t="s">
        <v>29</v>
      </c>
      <c r="G220" s="253" t="n">
        <v>1</v>
      </c>
      <c r="H220" s="254" t="s">
        <v>62</v>
      </c>
      <c r="I220" s="254" t="n">
        <v>0</v>
      </c>
      <c r="J220" s="253" t="n">
        <v>76</v>
      </c>
      <c r="K220" s="253" t="s">
        <v>62</v>
      </c>
      <c r="L220" s="255" t="n">
        <f aca="false">IF(J220="",0,(J220/J221)*100)</f>
        <v>95</v>
      </c>
      <c r="M220" s="253" t="n">
        <v>2</v>
      </c>
      <c r="N220" s="256" t="n">
        <v>3</v>
      </c>
      <c r="O220" s="136" t="n">
        <f aca="false">IF(M220=1,1,0)</f>
        <v>0</v>
      </c>
      <c r="P220" s="136" t="n">
        <f aca="false">IF(M220=2,1,0)</f>
        <v>1</v>
      </c>
      <c r="Q220" s="137" t="n">
        <f aca="false">IF(M220=3,1,0)</f>
        <v>0</v>
      </c>
      <c r="R220" s="166"/>
      <c r="S220" s="166"/>
      <c r="T220" s="161"/>
      <c r="U220" s="168"/>
    </row>
    <row r="221" customFormat="false" ht="20.1" hidden="true" customHeight="true" outlineLevel="1" collapsed="false">
      <c r="B221" s="56"/>
      <c r="C221" s="161"/>
      <c r="D221" s="161"/>
      <c r="E221" s="161"/>
      <c r="F221" s="169"/>
      <c r="G221" s="169"/>
      <c r="H221" s="161"/>
      <c r="I221" s="170" t="s">
        <v>94</v>
      </c>
      <c r="J221" s="141" t="n">
        <f aca="false">MAX(J218:J220)</f>
        <v>80</v>
      </c>
      <c r="K221" s="171"/>
      <c r="L221" s="166"/>
      <c r="M221" s="161"/>
      <c r="N221" s="144" t="s">
        <v>95</v>
      </c>
      <c r="O221" s="145" t="n">
        <f aca="false">SUM(O218:O220)</f>
        <v>1</v>
      </c>
      <c r="P221" s="146" t="n">
        <f aca="false">SUM(P218:P220)</f>
        <v>1</v>
      </c>
      <c r="Q221" s="145" t="n">
        <f aca="false">SUM(Q218:Q220)</f>
        <v>1</v>
      </c>
      <c r="R221" s="158" t="n">
        <f aca="false">SUM(R218:R220)</f>
        <v>0</v>
      </c>
      <c r="S221" s="172"/>
      <c r="T221" s="161"/>
      <c r="U221" s="168"/>
    </row>
    <row r="222" customFormat="false" ht="20.1" hidden="false" customHeight="true" outlineLevel="0" collapsed="false">
      <c r="B222" s="56"/>
      <c r="C222" s="161"/>
      <c r="D222" s="161"/>
      <c r="E222" s="161"/>
      <c r="F222" s="161"/>
      <c r="G222" s="161"/>
      <c r="H222" s="161"/>
      <c r="I222" s="161"/>
      <c r="J222" s="161"/>
      <c r="K222" s="161"/>
      <c r="L222" s="161"/>
      <c r="M222" s="161"/>
      <c r="N222" s="161"/>
      <c r="O222" s="161"/>
      <c r="P222" s="161"/>
      <c r="Q222" s="161"/>
      <c r="R222" s="161"/>
      <c r="S222" s="161"/>
      <c r="T222" s="161"/>
      <c r="U222" s="168"/>
    </row>
    <row r="223" customFormat="false" ht="20.1" hidden="false" customHeight="true" outlineLevel="0" collapsed="false">
      <c r="B223" s="56"/>
      <c r="D223" s="45"/>
      <c r="E223" s="45"/>
      <c r="F223" s="45"/>
      <c r="G223" s="45"/>
      <c r="H223" s="160"/>
      <c r="I223" s="45"/>
      <c r="J223" s="45"/>
      <c r="K223" s="45"/>
      <c r="U223" s="56"/>
    </row>
    <row r="224" customFormat="false" ht="30" hidden="false" customHeight="true" outlineLevel="0" collapsed="false">
      <c r="B224" s="56"/>
      <c r="C224" s="181"/>
      <c r="D224" s="182" t="s">
        <v>152</v>
      </c>
      <c r="E224" s="182"/>
      <c r="F224" s="182"/>
      <c r="G224" s="182"/>
      <c r="H224" s="182"/>
      <c r="I224" s="182"/>
      <c r="J224" s="182"/>
      <c r="K224" s="182"/>
      <c r="L224" s="182"/>
      <c r="M224" s="182"/>
      <c r="N224" s="182"/>
      <c r="O224" s="341"/>
      <c r="P224" s="341"/>
      <c r="Q224" s="341"/>
      <c r="R224" s="341"/>
      <c r="S224" s="341"/>
      <c r="T224" s="181"/>
      <c r="U224" s="56"/>
    </row>
    <row r="225" customFormat="false" ht="50.1" hidden="false" customHeight="true" outlineLevel="0" collapsed="false">
      <c r="B225" s="56"/>
      <c r="C225" s="181"/>
      <c r="D225" s="183" t="s">
        <v>48</v>
      </c>
      <c r="E225" s="184" t="s">
        <v>223</v>
      </c>
      <c r="F225" s="185" t="s">
        <v>88</v>
      </c>
      <c r="G225" s="186" t="s">
        <v>101</v>
      </c>
      <c r="H225" s="187" t="s">
        <v>102</v>
      </c>
      <c r="I225" s="187"/>
      <c r="J225" s="188" t="s">
        <v>103</v>
      </c>
      <c r="K225" s="189" t="s">
        <v>104</v>
      </c>
      <c r="L225" s="185" t="s">
        <v>105</v>
      </c>
      <c r="M225" s="189" t="s">
        <v>106</v>
      </c>
      <c r="N225" s="184" t="s">
        <v>108</v>
      </c>
      <c r="O225" s="342"/>
      <c r="P225" s="343"/>
      <c r="Q225" s="343"/>
      <c r="R225" s="343"/>
      <c r="S225" s="181"/>
      <c r="T225" s="181"/>
      <c r="U225" s="56"/>
    </row>
    <row r="226" customFormat="false" ht="20.1" hidden="false" customHeight="true" outlineLevel="0" collapsed="false">
      <c r="B226" s="56"/>
      <c r="C226" s="181"/>
      <c r="D226" s="306" t="s">
        <v>35</v>
      </c>
      <c r="E226" s="344" t="s">
        <v>36</v>
      </c>
      <c r="F226" s="269" t="n">
        <f aca="false">K226*6+L226*3+M226*0</f>
        <v>12</v>
      </c>
      <c r="G226" s="270" t="n">
        <v>0</v>
      </c>
      <c r="H226" s="345"/>
      <c r="I226" s="345"/>
      <c r="J226" s="269" t="n">
        <f aca="false">F226+G226</f>
        <v>12</v>
      </c>
      <c r="K226" s="269" t="n">
        <v>2</v>
      </c>
      <c r="L226" s="269" t="n">
        <v>0</v>
      </c>
      <c r="M226" s="269" t="n">
        <v>1</v>
      </c>
      <c r="N226" s="272" t="n">
        <f aca="false">(L203+L211+L219)/3</f>
        <v>95</v>
      </c>
      <c r="O226" s="291"/>
      <c r="P226" s="289"/>
      <c r="Q226" s="289"/>
      <c r="R226" s="289"/>
      <c r="S226" s="181"/>
      <c r="T226" s="181"/>
      <c r="U226" s="56"/>
    </row>
    <row r="227" customFormat="false" ht="20.1" hidden="false" customHeight="true" outlineLevel="0" collapsed="false">
      <c r="B227" s="56"/>
      <c r="C227" s="181"/>
      <c r="D227" s="198" t="s">
        <v>33</v>
      </c>
      <c r="E227" s="346" t="s">
        <v>34</v>
      </c>
      <c r="F227" s="275" t="n">
        <f aca="false">K227*6+L227*3+M227*0</f>
        <v>12</v>
      </c>
      <c r="G227" s="276" t="n">
        <v>0</v>
      </c>
      <c r="H227" s="276" t="s">
        <v>62</v>
      </c>
      <c r="I227" s="276"/>
      <c r="J227" s="275" t="n">
        <f aca="false">F227+G227</f>
        <v>12</v>
      </c>
      <c r="K227" s="275" t="n">
        <v>1</v>
      </c>
      <c r="L227" s="275" t="n">
        <v>2</v>
      </c>
      <c r="M227" s="275" t="n">
        <v>0</v>
      </c>
      <c r="N227" s="278" t="n">
        <f aca="false">(L202+L210+L218)/3</f>
        <v>85.8889267075108</v>
      </c>
      <c r="O227" s="291"/>
      <c r="P227" s="289"/>
      <c r="Q227" s="289"/>
      <c r="R227" s="289"/>
      <c r="S227" s="181"/>
      <c r="T227" s="181"/>
      <c r="U227" s="56"/>
    </row>
    <row r="228" customFormat="false" ht="20.1" hidden="false" customHeight="true" outlineLevel="0" collapsed="false">
      <c r="B228" s="56"/>
      <c r="C228" s="181"/>
      <c r="D228" s="282" t="s">
        <v>28</v>
      </c>
      <c r="E228" s="347" t="s">
        <v>29</v>
      </c>
      <c r="F228" s="284" t="n">
        <f aca="false">K228*6+L228*3+M228*0</f>
        <v>3</v>
      </c>
      <c r="G228" s="285" t="n">
        <v>0</v>
      </c>
      <c r="H228" s="285" t="s">
        <v>62</v>
      </c>
      <c r="I228" s="285"/>
      <c r="J228" s="284" t="n">
        <f aca="false">F228+G228</f>
        <v>3</v>
      </c>
      <c r="K228" s="284" t="n">
        <v>0</v>
      </c>
      <c r="L228" s="284" t="n">
        <v>1</v>
      </c>
      <c r="M228" s="284" t="n">
        <v>2</v>
      </c>
      <c r="N228" s="287" t="n">
        <f aca="false">(L204+L212+L220)/3</f>
        <v>81.7857953256183</v>
      </c>
      <c r="O228" s="291"/>
      <c r="P228" s="289"/>
      <c r="Q228" s="289"/>
      <c r="R228" s="289"/>
      <c r="S228" s="181"/>
      <c r="T228" s="181"/>
      <c r="U228" s="56"/>
    </row>
    <row r="229" customFormat="false" ht="20.1" hidden="false" customHeight="true" outlineLevel="0" collapsed="false">
      <c r="B229" s="56"/>
      <c r="C229" s="181"/>
      <c r="D229" s="181"/>
      <c r="E229" s="181"/>
      <c r="F229" s="181"/>
      <c r="G229" s="181"/>
      <c r="H229" s="181"/>
      <c r="I229" s="181"/>
      <c r="J229" s="181"/>
      <c r="K229" s="181"/>
      <c r="L229" s="181"/>
      <c r="M229" s="181"/>
      <c r="N229" s="181"/>
      <c r="O229" s="181"/>
      <c r="P229" s="181"/>
      <c r="Q229" s="181"/>
      <c r="R229" s="181"/>
      <c r="S229" s="181"/>
      <c r="T229" s="181"/>
      <c r="U229" s="56"/>
    </row>
    <row r="230" customFormat="false" ht="20.1" hidden="false" customHeight="true" outlineLevel="0" collapsed="false">
      <c r="B230" s="56"/>
      <c r="C230" s="56"/>
      <c r="D230" s="213"/>
      <c r="E230" s="213"/>
      <c r="F230" s="164"/>
      <c r="G230" s="164"/>
      <c r="H230" s="213"/>
      <c r="I230" s="213"/>
      <c r="J230" s="213"/>
      <c r="K230" s="56"/>
      <c r="L230" s="56"/>
      <c r="M230" s="56"/>
      <c r="N230" s="56"/>
      <c r="O230" s="56"/>
      <c r="P230" s="56"/>
      <c r="Q230" s="56"/>
      <c r="R230" s="56"/>
      <c r="S230" s="56"/>
      <c r="T230" s="56"/>
      <c r="U230" s="56"/>
    </row>
    <row r="231" customFormat="false" ht="20.1" hidden="false" customHeight="true" outlineLevel="0" collapsed="false"/>
    <row r="232" customFormat="false" ht="20.1" hidden="false" customHeight="true" outlineLevel="0" collapsed="false"/>
    <row r="233" customFormat="false" ht="20.1" hidden="false" customHeight="true" outlineLevel="0" collapsed="false">
      <c r="B233" s="56"/>
      <c r="C233" s="56"/>
      <c r="D233" s="57"/>
      <c r="E233" s="57"/>
      <c r="F233" s="57"/>
      <c r="G233" s="57"/>
      <c r="H233" s="56"/>
      <c r="I233" s="56"/>
      <c r="J233" s="56"/>
      <c r="K233" s="56"/>
      <c r="L233" s="56"/>
      <c r="M233" s="56"/>
      <c r="N233" s="56"/>
      <c r="O233" s="56"/>
      <c r="P233" s="56"/>
      <c r="Q233" s="56"/>
      <c r="R233" s="56"/>
      <c r="S233" s="56"/>
      <c r="T233" s="56"/>
      <c r="U233" s="56"/>
    </row>
    <row r="234" customFormat="false" ht="30" hidden="false" customHeight="true" outlineLevel="0" collapsed="false">
      <c r="B234" s="56"/>
      <c r="C234" s="58" t="s">
        <v>224</v>
      </c>
      <c r="D234" s="58"/>
      <c r="E234" s="58"/>
      <c r="F234" s="58"/>
      <c r="G234" s="58"/>
      <c r="H234" s="58"/>
      <c r="I234" s="58"/>
      <c r="J234" s="58"/>
      <c r="K234" s="58"/>
      <c r="L234" s="58"/>
      <c r="M234" s="58"/>
      <c r="N234" s="58"/>
      <c r="O234" s="58"/>
      <c r="P234" s="58"/>
      <c r="Q234" s="58"/>
      <c r="R234" s="58"/>
      <c r="S234" s="58"/>
      <c r="T234" s="58"/>
      <c r="U234" s="56"/>
    </row>
    <row r="235" customFormat="false" ht="20.1" hidden="false" customHeight="true" outlineLevel="0" collapsed="false">
      <c r="B235" s="56"/>
      <c r="U235" s="56"/>
    </row>
    <row r="236" customFormat="false" ht="20.1" hidden="false" customHeight="true" outlineLevel="0" collapsed="false">
      <c r="B236" s="56"/>
      <c r="D236" s="59" t="s">
        <v>48</v>
      </c>
      <c r="E236" s="60" t="s">
        <v>209</v>
      </c>
      <c r="F236" s="61" t="s">
        <v>10</v>
      </c>
      <c r="G236" s="62" t="s">
        <v>50</v>
      </c>
      <c r="H236" s="62"/>
      <c r="I236" s="62"/>
      <c r="J236" s="62"/>
      <c r="K236" s="60" t="s">
        <v>51</v>
      </c>
      <c r="L236" s="62" t="s">
        <v>52</v>
      </c>
      <c r="M236" s="62"/>
      <c r="N236" s="62"/>
      <c r="O236" s="62"/>
      <c r="P236" s="62"/>
      <c r="Q236" s="62"/>
      <c r="R236" s="62"/>
      <c r="S236" s="62"/>
      <c r="U236" s="56"/>
    </row>
    <row r="237" customFormat="false" ht="20.1" hidden="false" customHeight="true" outlineLevel="0" collapsed="false">
      <c r="B237" s="56"/>
      <c r="D237" s="59"/>
      <c r="E237" s="60"/>
      <c r="F237" s="60"/>
      <c r="G237" s="66" t="s">
        <v>53</v>
      </c>
      <c r="H237" s="65" t="s">
        <v>54</v>
      </c>
      <c r="I237" s="64" t="s">
        <v>55</v>
      </c>
      <c r="J237" s="64"/>
      <c r="K237" s="65" t="s">
        <v>56</v>
      </c>
      <c r="L237" s="217" t="s">
        <v>53</v>
      </c>
      <c r="M237" s="218" t="s">
        <v>57</v>
      </c>
      <c r="N237" s="64" t="s">
        <v>55</v>
      </c>
      <c r="O237" s="64"/>
      <c r="P237" s="64"/>
      <c r="Q237" s="64"/>
      <c r="R237" s="64"/>
      <c r="S237" s="64"/>
      <c r="U237" s="56"/>
    </row>
    <row r="238" customFormat="false" ht="30" hidden="false" customHeight="true" outlineLevel="0" collapsed="false">
      <c r="B238" s="56"/>
      <c r="D238" s="348" t="s">
        <v>235</v>
      </c>
      <c r="E238" s="349" t="s">
        <v>236</v>
      </c>
      <c r="F238" s="350" t="n">
        <v>1</v>
      </c>
      <c r="G238" s="351" t="s">
        <v>58</v>
      </c>
      <c r="H238" s="352" t="s">
        <v>367</v>
      </c>
      <c r="I238" s="353" t="s">
        <v>368</v>
      </c>
      <c r="J238" s="353"/>
      <c r="K238" s="354" t="s">
        <v>113</v>
      </c>
      <c r="L238" s="355" t="s">
        <v>62</v>
      </c>
      <c r="M238" s="356" t="s">
        <v>62</v>
      </c>
      <c r="N238" s="74" t="s">
        <v>62</v>
      </c>
      <c r="O238" s="74"/>
      <c r="P238" s="74"/>
      <c r="Q238" s="74"/>
      <c r="R238" s="74"/>
      <c r="S238" s="74"/>
      <c r="U238" s="56"/>
    </row>
    <row r="239" customFormat="false" ht="21.95" hidden="false" customHeight="true" outlineLevel="0" collapsed="false">
      <c r="B239" s="56"/>
      <c r="D239" s="77" t="s">
        <v>30</v>
      </c>
      <c r="E239" s="32" t="s">
        <v>31</v>
      </c>
      <c r="F239" s="26" t="n">
        <v>2</v>
      </c>
      <c r="G239" s="78" t="s">
        <v>58</v>
      </c>
      <c r="H239" s="434" t="s">
        <v>369</v>
      </c>
      <c r="I239" s="85" t="s">
        <v>370</v>
      </c>
      <c r="J239" s="85"/>
      <c r="K239" s="362" t="s">
        <v>113</v>
      </c>
      <c r="L239" s="363"/>
      <c r="M239" s="364"/>
      <c r="N239" s="365"/>
      <c r="O239" s="365"/>
      <c r="P239" s="365"/>
      <c r="Q239" s="365"/>
      <c r="R239" s="365"/>
      <c r="S239" s="365"/>
      <c r="U239" s="56"/>
    </row>
    <row r="240" customFormat="false" ht="21.95" hidden="false" customHeight="true" outlineLevel="0" collapsed="false">
      <c r="B240" s="56"/>
      <c r="D240" s="77"/>
      <c r="E240" s="32"/>
      <c r="F240" s="26"/>
      <c r="G240" s="78"/>
      <c r="H240" s="434"/>
      <c r="I240" s="86" t="s">
        <v>371</v>
      </c>
      <c r="J240" s="86"/>
      <c r="K240" s="362"/>
      <c r="L240" s="363"/>
      <c r="M240" s="364"/>
      <c r="N240" s="435"/>
      <c r="O240" s="436"/>
      <c r="P240" s="436"/>
      <c r="Q240" s="436"/>
      <c r="R240" s="436"/>
      <c r="S240" s="437"/>
      <c r="U240" s="56"/>
    </row>
    <row r="241" customFormat="false" ht="30" hidden="false" customHeight="true" outlineLevel="0" collapsed="false">
      <c r="B241" s="56"/>
      <c r="D241" s="77" t="s">
        <v>30</v>
      </c>
      <c r="E241" s="32" t="s">
        <v>31</v>
      </c>
      <c r="F241" s="366" t="n">
        <v>3</v>
      </c>
      <c r="G241" s="230" t="s">
        <v>58</v>
      </c>
      <c r="H241" s="299" t="s">
        <v>59</v>
      </c>
      <c r="I241" s="91" t="s">
        <v>141</v>
      </c>
      <c r="J241" s="91"/>
      <c r="K241" s="367"/>
      <c r="L241" s="368"/>
      <c r="M241" s="369"/>
      <c r="N241" s="370"/>
      <c r="O241" s="370"/>
      <c r="P241" s="370"/>
      <c r="Q241" s="370"/>
      <c r="R241" s="370"/>
      <c r="S241" s="370"/>
      <c r="U241" s="56"/>
    </row>
    <row r="242" customFormat="false" ht="15" hidden="false" customHeight="true" outlineLevel="0" collapsed="false">
      <c r="B242" s="56"/>
      <c r="D242" s="77"/>
      <c r="E242" s="32"/>
      <c r="F242" s="366"/>
      <c r="G242" s="230"/>
      <c r="H242" s="299"/>
      <c r="I242" s="96" t="s">
        <v>63</v>
      </c>
      <c r="J242" s="96"/>
      <c r="K242" s="371"/>
      <c r="L242" s="372"/>
      <c r="M242" s="373"/>
      <c r="N242" s="374"/>
      <c r="O242" s="375"/>
      <c r="P242" s="375"/>
      <c r="Q242" s="375"/>
      <c r="R242" s="375"/>
      <c r="S242" s="376"/>
      <c r="U242" s="56"/>
    </row>
    <row r="243" customFormat="false" ht="15" hidden="false" customHeight="true" outlineLevel="0" collapsed="false">
      <c r="B243" s="56"/>
      <c r="D243" s="77"/>
      <c r="E243" s="32"/>
      <c r="F243" s="366"/>
      <c r="G243" s="230"/>
      <c r="H243" s="299"/>
      <c r="I243" s="96" t="s">
        <v>64</v>
      </c>
      <c r="J243" s="96"/>
      <c r="K243" s="371"/>
      <c r="L243" s="372"/>
      <c r="M243" s="373"/>
      <c r="N243" s="374"/>
      <c r="O243" s="375"/>
      <c r="P243" s="375"/>
      <c r="Q243" s="375"/>
      <c r="R243" s="375"/>
      <c r="S243" s="376"/>
      <c r="U243" s="56"/>
    </row>
    <row r="244" customFormat="false" ht="15" hidden="false" customHeight="true" outlineLevel="0" collapsed="false">
      <c r="B244" s="56"/>
      <c r="D244" s="97" t="s">
        <v>235</v>
      </c>
      <c r="E244" s="40" t="s">
        <v>236</v>
      </c>
      <c r="F244" s="377" t="n">
        <v>4</v>
      </c>
      <c r="G244" s="237" t="s">
        <v>58</v>
      </c>
      <c r="H244" s="238" t="s">
        <v>210</v>
      </c>
      <c r="I244" s="101" t="s">
        <v>372</v>
      </c>
      <c r="J244" s="101"/>
      <c r="K244" s="378"/>
      <c r="L244" s="368"/>
      <c r="M244" s="369"/>
      <c r="N244" s="370"/>
      <c r="O244" s="370"/>
      <c r="P244" s="370"/>
      <c r="Q244" s="370"/>
      <c r="R244" s="370"/>
      <c r="S244" s="370"/>
      <c r="U244" s="56"/>
    </row>
    <row r="245" customFormat="false" ht="15.75" hidden="false" customHeight="true" outlineLevel="0" collapsed="false">
      <c r="B245" s="56"/>
      <c r="D245" s="97"/>
      <c r="E245" s="40"/>
      <c r="F245" s="377"/>
      <c r="G245" s="237"/>
      <c r="H245" s="238"/>
      <c r="I245" s="104" t="s">
        <v>212</v>
      </c>
      <c r="J245" s="104"/>
      <c r="K245" s="382"/>
      <c r="L245" s="383"/>
      <c r="M245" s="384"/>
      <c r="N245" s="385"/>
      <c r="O245" s="385"/>
      <c r="P245" s="385"/>
      <c r="Q245" s="385"/>
      <c r="R245" s="385"/>
      <c r="S245" s="386"/>
      <c r="U245" s="56"/>
    </row>
    <row r="246" customFormat="false" ht="20.1" hidden="false" customHeight="true" outlineLevel="0" collapsed="false">
      <c r="B246" s="56"/>
      <c r="U246" s="56"/>
    </row>
    <row r="247" customFormat="false" ht="20.1" hidden="false" customHeight="true" outlineLevel="0" collapsed="false">
      <c r="B247" s="56"/>
      <c r="C247" s="106"/>
      <c r="D247" s="106"/>
      <c r="E247" s="107" t="str">
        <f aca="false">IF(OR(L238="-",L238= ""),H238,L238)</f>
        <v>Die verlorenen Ruinen von Arnak</v>
      </c>
      <c r="F247" s="107"/>
      <c r="G247" s="107"/>
      <c r="H247" s="107"/>
      <c r="I247" s="107"/>
      <c r="J247" s="107"/>
      <c r="K247" s="107"/>
      <c r="L247" s="107"/>
      <c r="M247" s="107"/>
      <c r="N247" s="107"/>
      <c r="O247" s="108"/>
      <c r="P247" s="108"/>
      <c r="Q247" s="108"/>
      <c r="R247" s="108"/>
      <c r="S247" s="108"/>
      <c r="T247" s="106"/>
      <c r="U247" s="56"/>
    </row>
    <row r="248" customFormat="false" ht="50.1" hidden="false" customHeight="true" outlineLevel="0" collapsed="false">
      <c r="B248" s="56"/>
      <c r="C248" s="106"/>
      <c r="D248" s="108"/>
      <c r="E248" s="59" t="s">
        <v>48</v>
      </c>
      <c r="F248" s="109" t="s">
        <v>80</v>
      </c>
      <c r="G248" s="61" t="s">
        <v>81</v>
      </c>
      <c r="H248" s="60" t="s">
        <v>82</v>
      </c>
      <c r="I248" s="6" t="s">
        <v>83</v>
      </c>
      <c r="J248" s="60" t="s">
        <v>84</v>
      </c>
      <c r="K248" s="110" t="s">
        <v>85</v>
      </c>
      <c r="L248" s="60" t="s">
        <v>86</v>
      </c>
      <c r="M248" s="111" t="s">
        <v>87</v>
      </c>
      <c r="N248" s="61" t="s">
        <v>88</v>
      </c>
      <c r="O248" s="112" t="s">
        <v>89</v>
      </c>
      <c r="P248" s="113" t="s">
        <v>90</v>
      </c>
      <c r="Q248" s="108"/>
      <c r="R248" s="108"/>
      <c r="S248" s="108"/>
      <c r="T248" s="106"/>
      <c r="U248" s="56"/>
    </row>
    <row r="249" customFormat="false" ht="20.1" hidden="false" customHeight="true" outlineLevel="0" collapsed="false">
      <c r="B249" s="56"/>
      <c r="C249" s="106"/>
      <c r="D249" s="131"/>
      <c r="E249" s="387" t="s">
        <v>235</v>
      </c>
      <c r="F249" s="244" t="s">
        <v>236</v>
      </c>
      <c r="G249" s="245" t="n">
        <v>2</v>
      </c>
      <c r="H249" s="245" t="s">
        <v>62</v>
      </c>
      <c r="I249" s="245" t="n">
        <v>0</v>
      </c>
      <c r="J249" s="245" t="n">
        <v>77</v>
      </c>
      <c r="K249" s="245" t="s">
        <v>62</v>
      </c>
      <c r="L249" s="246" t="n">
        <f aca="false">IF(J249="",0,(J249/J251)*100)</f>
        <v>100</v>
      </c>
      <c r="M249" s="245" t="n">
        <v>1</v>
      </c>
      <c r="N249" s="247" t="n">
        <v>6</v>
      </c>
      <c r="O249" s="117" t="n">
        <f aca="false">IF(M249=1,1,0)</f>
        <v>1</v>
      </c>
      <c r="P249" s="118" t="n">
        <f aca="false">IF(M249=2,1,0)</f>
        <v>0</v>
      </c>
      <c r="Q249" s="119"/>
      <c r="R249" s="119"/>
      <c r="S249" s="119"/>
      <c r="T249" s="106"/>
      <c r="U249" s="56"/>
    </row>
    <row r="250" customFormat="false" ht="20.1" hidden="false" customHeight="true" outlineLevel="0" collapsed="false">
      <c r="B250" s="56"/>
      <c r="C250" s="106"/>
      <c r="D250" s="106"/>
      <c r="E250" s="252" t="s">
        <v>30</v>
      </c>
      <c r="F250" s="39" t="s">
        <v>31</v>
      </c>
      <c r="G250" s="253" t="n">
        <v>1</v>
      </c>
      <c r="H250" s="253" t="s">
        <v>62</v>
      </c>
      <c r="I250" s="253" t="n">
        <v>0</v>
      </c>
      <c r="J250" s="253" t="n">
        <v>49</v>
      </c>
      <c r="K250" s="254" t="s">
        <v>62</v>
      </c>
      <c r="L250" s="255" t="n">
        <f aca="false">IF(J250="",0,(J250/J251)*100)</f>
        <v>63.6363636363636</v>
      </c>
      <c r="M250" s="253" t="n">
        <v>2</v>
      </c>
      <c r="N250" s="256" t="n">
        <v>0</v>
      </c>
      <c r="O250" s="136" t="n">
        <f aca="false">IF(M250=1,1,0)</f>
        <v>0</v>
      </c>
      <c r="P250" s="137" t="n">
        <f aca="false">IF(M250=2,1,0)</f>
        <v>1</v>
      </c>
      <c r="Q250" s="119"/>
      <c r="R250" s="119"/>
      <c r="S250" s="119"/>
      <c r="T250" s="106"/>
      <c r="U250" s="56"/>
    </row>
    <row r="251" customFormat="false" ht="20.1" hidden="true" customHeight="true" outlineLevel="1" collapsed="false">
      <c r="B251" s="56"/>
      <c r="C251" s="106"/>
      <c r="D251" s="131"/>
      <c r="E251" s="131"/>
      <c r="F251" s="139"/>
      <c r="G251" s="139"/>
      <c r="H251" s="106"/>
      <c r="I251" s="170" t="s">
        <v>94</v>
      </c>
      <c r="J251" s="141" t="n">
        <f aca="false">MAX(J249:J250)</f>
        <v>77</v>
      </c>
      <c r="K251" s="257"/>
      <c r="L251" s="147"/>
      <c r="M251" s="106"/>
      <c r="N251" s="144" t="s">
        <v>95</v>
      </c>
      <c r="O251" s="145" t="n">
        <f aca="false">SUM(O249:O250)</f>
        <v>1</v>
      </c>
      <c r="P251" s="158" t="n">
        <f aca="false">SUM(P249:P250)</f>
        <v>1</v>
      </c>
      <c r="Q251" s="147"/>
      <c r="R251" s="147"/>
      <c r="S251" s="147"/>
      <c r="T251" s="106"/>
      <c r="U251" s="56"/>
    </row>
    <row r="252" customFormat="false" ht="20.1" hidden="false" customHeight="true" outlineLevel="0" collapsed="false">
      <c r="B252" s="56"/>
      <c r="C252" s="106"/>
      <c r="D252" s="106"/>
      <c r="E252" s="106"/>
      <c r="F252" s="106"/>
      <c r="G252" s="106"/>
      <c r="H252" s="106"/>
      <c r="I252" s="106"/>
      <c r="J252" s="106"/>
      <c r="K252" s="106"/>
      <c r="L252" s="106"/>
      <c r="M252" s="106"/>
      <c r="N252" s="106"/>
      <c r="O252" s="106"/>
      <c r="P252" s="106"/>
      <c r="Q252" s="106"/>
      <c r="R252" s="106"/>
      <c r="S252" s="106"/>
      <c r="T252" s="106"/>
      <c r="U252" s="56"/>
    </row>
    <row r="253" customFormat="false" ht="20.1" hidden="false" customHeight="true" outlineLevel="0" collapsed="false">
      <c r="B253" s="56"/>
      <c r="U253" s="56"/>
    </row>
    <row r="254" customFormat="false" ht="20.1" hidden="false" customHeight="true" outlineLevel="0" collapsed="false">
      <c r="B254" s="56"/>
      <c r="C254" s="149"/>
      <c r="D254" s="149"/>
      <c r="E254" s="150" t="str">
        <f aca="false">IF(OR(L239="-",L239= ""),H239,L239)</f>
        <v>Through the Ages: Eine neue Geschichte der Zivilisation</v>
      </c>
      <c r="F254" s="150"/>
      <c r="G254" s="150"/>
      <c r="H254" s="150"/>
      <c r="I254" s="150"/>
      <c r="J254" s="150"/>
      <c r="K254" s="150"/>
      <c r="L254" s="150"/>
      <c r="M254" s="150"/>
      <c r="N254" s="150"/>
      <c r="O254" s="151"/>
      <c r="P254" s="151"/>
      <c r="Q254" s="151"/>
      <c r="R254" s="151"/>
      <c r="S254" s="151"/>
      <c r="T254" s="149"/>
      <c r="U254" s="56"/>
    </row>
    <row r="255" customFormat="false" ht="50.1" hidden="false" customHeight="true" outlineLevel="0" collapsed="false">
      <c r="B255" s="56"/>
      <c r="C255" s="149"/>
      <c r="D255" s="151"/>
      <c r="E255" s="59" t="s">
        <v>48</v>
      </c>
      <c r="F255" s="109" t="s">
        <v>80</v>
      </c>
      <c r="G255" s="61" t="s">
        <v>81</v>
      </c>
      <c r="H255" s="60" t="s">
        <v>82</v>
      </c>
      <c r="I255" s="6" t="s">
        <v>83</v>
      </c>
      <c r="J255" s="60" t="s">
        <v>84</v>
      </c>
      <c r="K255" s="110" t="s">
        <v>85</v>
      </c>
      <c r="L255" s="60" t="s">
        <v>86</v>
      </c>
      <c r="M255" s="111" t="s">
        <v>87</v>
      </c>
      <c r="N255" s="61" t="s">
        <v>88</v>
      </c>
      <c r="O255" s="112" t="s">
        <v>89</v>
      </c>
      <c r="P255" s="113" t="s">
        <v>90</v>
      </c>
      <c r="Q255" s="151"/>
      <c r="R255" s="151"/>
      <c r="S255" s="151"/>
      <c r="T255" s="149"/>
      <c r="U255" s="56"/>
    </row>
    <row r="256" customFormat="false" ht="20.1" hidden="false" customHeight="true" outlineLevel="0" collapsed="false">
      <c r="B256" s="56"/>
      <c r="C256" s="149"/>
      <c r="D256" s="153"/>
      <c r="E256" s="303" t="s">
        <v>235</v>
      </c>
      <c r="F256" s="14" t="s">
        <v>236</v>
      </c>
      <c r="G256" s="258" t="n">
        <v>2</v>
      </c>
      <c r="H256" s="258" t="s">
        <v>62</v>
      </c>
      <c r="I256" s="258" t="n">
        <v>0</v>
      </c>
      <c r="J256" s="258" t="n">
        <v>81</v>
      </c>
      <c r="K256" s="258" t="s">
        <v>62</v>
      </c>
      <c r="L256" s="259" t="n">
        <f aca="false">IF(J256="",0,(J256/J258)*100)</f>
        <v>94.1860465116279</v>
      </c>
      <c r="M256" s="258" t="n">
        <v>2</v>
      </c>
      <c r="N256" s="260" t="n">
        <v>0</v>
      </c>
      <c r="O256" s="117" t="n">
        <f aca="false">IF(M256=1,1,0)</f>
        <v>0</v>
      </c>
      <c r="P256" s="118" t="n">
        <f aca="false">IF(M256=2,1,0)</f>
        <v>1</v>
      </c>
      <c r="Q256" s="152"/>
      <c r="R256" s="152"/>
      <c r="S256" s="152"/>
      <c r="T256" s="149"/>
      <c r="U256" s="56"/>
    </row>
    <row r="257" customFormat="false" ht="20.1" hidden="false" customHeight="true" outlineLevel="0" collapsed="false">
      <c r="B257" s="56"/>
      <c r="C257" s="149"/>
      <c r="D257" s="149"/>
      <c r="E257" s="261" t="s">
        <v>30</v>
      </c>
      <c r="F257" s="262" t="s">
        <v>31</v>
      </c>
      <c r="G257" s="263" t="n">
        <v>1</v>
      </c>
      <c r="H257" s="263" t="s">
        <v>62</v>
      </c>
      <c r="I257" s="263" t="n">
        <v>0</v>
      </c>
      <c r="J257" s="263" t="n">
        <v>86</v>
      </c>
      <c r="K257" s="264" t="s">
        <v>62</v>
      </c>
      <c r="L257" s="265" t="n">
        <f aca="false">IF(J257="",0,(J257/J258)*100)</f>
        <v>100</v>
      </c>
      <c r="M257" s="263" t="n">
        <v>1</v>
      </c>
      <c r="N257" s="266" t="n">
        <v>6</v>
      </c>
      <c r="O257" s="136" t="n">
        <f aca="false">IF(M257=1,1,0)</f>
        <v>1</v>
      </c>
      <c r="P257" s="137" t="n">
        <f aca="false">IF(M257=2,1,0)</f>
        <v>0</v>
      </c>
      <c r="Q257" s="152"/>
      <c r="R257" s="152"/>
      <c r="S257" s="152"/>
      <c r="T257" s="149"/>
      <c r="U257" s="56"/>
    </row>
    <row r="258" customFormat="false" ht="20.1" hidden="true" customHeight="true" outlineLevel="1" collapsed="false">
      <c r="B258" s="56"/>
      <c r="C258" s="149"/>
      <c r="D258" s="149"/>
      <c r="E258" s="149"/>
      <c r="F258" s="155"/>
      <c r="G258" s="155"/>
      <c r="H258" s="149"/>
      <c r="I258" s="170" t="s">
        <v>94</v>
      </c>
      <c r="J258" s="141" t="n">
        <f aca="false">MAX(J256:J257)</f>
        <v>86</v>
      </c>
      <c r="K258" s="157"/>
      <c r="L258" s="152"/>
      <c r="M258" s="149"/>
      <c r="N258" s="144" t="s">
        <v>95</v>
      </c>
      <c r="O258" s="145" t="n">
        <f aca="false">SUM(O256:O257)</f>
        <v>1</v>
      </c>
      <c r="P258" s="158" t="n">
        <f aca="false">SUM(P256:P257)</f>
        <v>1</v>
      </c>
      <c r="Q258" s="159"/>
      <c r="R258" s="159"/>
      <c r="S258" s="159"/>
      <c r="T258" s="149"/>
      <c r="U258" s="56"/>
    </row>
    <row r="259" customFormat="false" ht="20.1" hidden="false" customHeight="true" outlineLevel="0" collapsed="false">
      <c r="B259" s="56"/>
      <c r="C259" s="149"/>
      <c r="D259" s="149"/>
      <c r="E259" s="149"/>
      <c r="F259" s="149"/>
      <c r="G259" s="149"/>
      <c r="H259" s="149"/>
      <c r="I259" s="149"/>
      <c r="J259" s="149"/>
      <c r="K259" s="149"/>
      <c r="L259" s="149"/>
      <c r="M259" s="149"/>
      <c r="N259" s="149"/>
      <c r="O259" s="149"/>
      <c r="P259" s="149"/>
      <c r="Q259" s="149"/>
      <c r="R259" s="149"/>
      <c r="S259" s="149"/>
      <c r="T259" s="149"/>
      <c r="U259" s="56"/>
    </row>
    <row r="260" customFormat="false" ht="20.1" hidden="false" customHeight="true" outlineLevel="0" collapsed="false">
      <c r="B260" s="56"/>
      <c r="D260" s="45"/>
      <c r="E260" s="45"/>
      <c r="F260" s="45"/>
      <c r="G260" s="45"/>
      <c r="H260" s="160"/>
      <c r="I260" s="45"/>
      <c r="J260" s="45"/>
      <c r="U260" s="56"/>
    </row>
    <row r="261" customFormat="false" ht="20.1" hidden="false" customHeight="true" outlineLevel="0" collapsed="false">
      <c r="B261" s="56"/>
      <c r="C261" s="161"/>
      <c r="D261" s="161"/>
      <c r="E261" s="162" t="str">
        <f aca="false">IF(OR(L241="-",L241= ""),H241,L241)</f>
        <v>Die Burgen von 
Burgund</v>
      </c>
      <c r="F261" s="162"/>
      <c r="G261" s="162"/>
      <c r="H261" s="162"/>
      <c r="I261" s="162"/>
      <c r="J261" s="162"/>
      <c r="K261" s="162"/>
      <c r="L261" s="162"/>
      <c r="M261" s="162"/>
      <c r="N261" s="162"/>
      <c r="O261" s="163"/>
      <c r="P261" s="163"/>
      <c r="Q261" s="163"/>
      <c r="R261" s="163"/>
      <c r="S261" s="163"/>
      <c r="T261" s="161"/>
      <c r="U261" s="164"/>
    </row>
    <row r="262" customFormat="false" ht="50.1" hidden="false" customHeight="true" outlineLevel="0" collapsed="false">
      <c r="B262" s="56"/>
      <c r="C262" s="161"/>
      <c r="D262" s="163"/>
      <c r="E262" s="59" t="s">
        <v>48</v>
      </c>
      <c r="F262" s="109" t="s">
        <v>80</v>
      </c>
      <c r="G262" s="61" t="s">
        <v>81</v>
      </c>
      <c r="H262" s="60" t="s">
        <v>82</v>
      </c>
      <c r="I262" s="6" t="s">
        <v>83</v>
      </c>
      <c r="J262" s="60" t="s">
        <v>84</v>
      </c>
      <c r="K262" s="110" t="s">
        <v>85</v>
      </c>
      <c r="L262" s="60" t="s">
        <v>86</v>
      </c>
      <c r="M262" s="111" t="s">
        <v>87</v>
      </c>
      <c r="N262" s="61" t="s">
        <v>88</v>
      </c>
      <c r="O262" s="112" t="s">
        <v>89</v>
      </c>
      <c r="P262" s="113" t="s">
        <v>90</v>
      </c>
      <c r="Q262" s="163"/>
      <c r="R262" s="163"/>
      <c r="S262" s="163"/>
      <c r="T262" s="161"/>
      <c r="U262" s="164"/>
    </row>
    <row r="263" customFormat="false" ht="20.1" hidden="false" customHeight="true" outlineLevel="0" collapsed="false">
      <c r="B263" s="56"/>
      <c r="C263" s="161"/>
      <c r="D263" s="167"/>
      <c r="E263" s="387" t="s">
        <v>235</v>
      </c>
      <c r="F263" s="244" t="s">
        <v>236</v>
      </c>
      <c r="G263" s="245" t="n">
        <v>2</v>
      </c>
      <c r="H263" s="245" t="s">
        <v>149</v>
      </c>
      <c r="I263" s="245" t="n">
        <v>0</v>
      </c>
      <c r="J263" s="245" t="n">
        <v>210</v>
      </c>
      <c r="K263" s="245" t="s">
        <v>62</v>
      </c>
      <c r="L263" s="246" t="n">
        <f aca="false">IF(J263="",0,(J263/J265)*100)</f>
        <v>100</v>
      </c>
      <c r="M263" s="245" t="n">
        <v>1</v>
      </c>
      <c r="N263" s="247" t="n">
        <v>6</v>
      </c>
      <c r="O263" s="117" t="n">
        <f aca="false">IF(M263=1,1,0)</f>
        <v>1</v>
      </c>
      <c r="P263" s="118" t="n">
        <f aca="false">IF(M263=2,1,0)</f>
        <v>0</v>
      </c>
      <c r="Q263" s="166"/>
      <c r="R263" s="166"/>
      <c r="S263" s="166"/>
      <c r="T263" s="161"/>
      <c r="U263" s="56"/>
    </row>
    <row r="264" customFormat="false" ht="20.1" hidden="false" customHeight="true" outlineLevel="0" collapsed="false">
      <c r="B264" s="56"/>
      <c r="C264" s="161"/>
      <c r="D264" s="161"/>
      <c r="E264" s="252" t="s">
        <v>30</v>
      </c>
      <c r="F264" s="39" t="s">
        <v>31</v>
      </c>
      <c r="G264" s="253" t="n">
        <v>1</v>
      </c>
      <c r="H264" s="253" t="s">
        <v>373</v>
      </c>
      <c r="I264" s="253" t="n">
        <v>0</v>
      </c>
      <c r="J264" s="253" t="n">
        <v>180</v>
      </c>
      <c r="K264" s="254" t="s">
        <v>62</v>
      </c>
      <c r="L264" s="255" t="n">
        <f aca="false">IF(J264="",0,(J264/J265)*100)</f>
        <v>85.7142857142857</v>
      </c>
      <c r="M264" s="253" t="n">
        <v>2</v>
      </c>
      <c r="N264" s="256" t="n">
        <v>0</v>
      </c>
      <c r="O264" s="136" t="n">
        <f aca="false">IF(M264=1,1,0)</f>
        <v>0</v>
      </c>
      <c r="P264" s="137" t="n">
        <f aca="false">IF(M264=2,1,0)</f>
        <v>1</v>
      </c>
      <c r="Q264" s="166"/>
      <c r="R264" s="166"/>
      <c r="S264" s="166"/>
      <c r="T264" s="161"/>
      <c r="U264" s="168"/>
    </row>
    <row r="265" customFormat="false" ht="20.1" hidden="true" customHeight="true" outlineLevel="1" collapsed="false">
      <c r="B265" s="56"/>
      <c r="C265" s="161"/>
      <c r="D265" s="161"/>
      <c r="E265" s="161"/>
      <c r="F265" s="169"/>
      <c r="G265" s="169"/>
      <c r="H265" s="161"/>
      <c r="I265" s="170" t="s">
        <v>94</v>
      </c>
      <c r="J265" s="141" t="n">
        <f aca="false">MAX(J263:J264)</f>
        <v>210</v>
      </c>
      <c r="K265" s="171"/>
      <c r="L265" s="166"/>
      <c r="M265" s="161"/>
      <c r="N265" s="144" t="s">
        <v>95</v>
      </c>
      <c r="O265" s="145" t="n">
        <f aca="false">SUM(O263:O264)</f>
        <v>1</v>
      </c>
      <c r="P265" s="158" t="n">
        <f aca="false">SUM(P263:P264)</f>
        <v>1</v>
      </c>
      <c r="Q265" s="172"/>
      <c r="R265" s="172"/>
      <c r="S265" s="172"/>
      <c r="T265" s="161"/>
      <c r="U265" s="168"/>
    </row>
    <row r="266" customFormat="false" ht="20.1" hidden="false" customHeight="true" outlineLevel="0" collapsed="false">
      <c r="B266" s="56"/>
      <c r="C266" s="161"/>
      <c r="D266" s="161"/>
      <c r="E266" s="161"/>
      <c r="F266" s="161"/>
      <c r="G266" s="161"/>
      <c r="H266" s="161"/>
      <c r="I266" s="161"/>
      <c r="J266" s="161"/>
      <c r="K266" s="161"/>
      <c r="L266" s="161"/>
      <c r="M266" s="161"/>
      <c r="N266" s="161"/>
      <c r="O266" s="161"/>
      <c r="P266" s="161"/>
      <c r="Q266" s="161"/>
      <c r="R266" s="161"/>
      <c r="S266" s="161"/>
      <c r="T266" s="161"/>
      <c r="U266" s="168"/>
    </row>
    <row r="267" customFormat="false" ht="20.1" hidden="false" customHeight="true" outlineLevel="0" collapsed="false">
      <c r="B267" s="56"/>
      <c r="D267" s="45"/>
      <c r="E267" s="45"/>
      <c r="F267" s="45"/>
      <c r="G267" s="45"/>
      <c r="H267" s="160"/>
      <c r="I267" s="45"/>
      <c r="J267" s="45"/>
      <c r="K267" s="45"/>
      <c r="U267" s="56"/>
    </row>
    <row r="268" customFormat="false" ht="20.1" hidden="false" customHeight="true" outlineLevel="0" collapsed="false">
      <c r="B268" s="56"/>
      <c r="C268" s="173"/>
      <c r="D268" s="173"/>
      <c r="E268" s="174" t="str">
        <f aca="false">IF(OR(L244="-",L244= ""),H244,L244)</f>
        <v>Viticulture</v>
      </c>
      <c r="F268" s="174"/>
      <c r="G268" s="174"/>
      <c r="H268" s="174"/>
      <c r="I268" s="174"/>
      <c r="J268" s="174"/>
      <c r="K268" s="174"/>
      <c r="L268" s="174"/>
      <c r="M268" s="174"/>
      <c r="N268" s="174"/>
      <c r="O268" s="175"/>
      <c r="P268" s="175"/>
      <c r="Q268" s="175"/>
      <c r="R268" s="175"/>
      <c r="S268" s="175"/>
      <c r="T268" s="173"/>
      <c r="U268" s="56"/>
    </row>
    <row r="269" customFormat="false" ht="50.1" hidden="false" customHeight="true" outlineLevel="0" collapsed="false">
      <c r="B269" s="56"/>
      <c r="C269" s="173"/>
      <c r="D269" s="175"/>
      <c r="E269" s="59" t="s">
        <v>48</v>
      </c>
      <c r="F269" s="109" t="s">
        <v>80</v>
      </c>
      <c r="G269" s="61" t="s">
        <v>81</v>
      </c>
      <c r="H269" s="60" t="s">
        <v>82</v>
      </c>
      <c r="I269" s="6" t="s">
        <v>83</v>
      </c>
      <c r="J269" s="60" t="s">
        <v>84</v>
      </c>
      <c r="K269" s="110" t="s">
        <v>85</v>
      </c>
      <c r="L269" s="60" t="s">
        <v>86</v>
      </c>
      <c r="M269" s="111" t="s">
        <v>87</v>
      </c>
      <c r="N269" s="61" t="s">
        <v>88</v>
      </c>
      <c r="O269" s="112" t="s">
        <v>89</v>
      </c>
      <c r="P269" s="113" t="s">
        <v>90</v>
      </c>
      <c r="Q269" s="175"/>
      <c r="R269" s="175"/>
      <c r="S269" s="175"/>
      <c r="T269" s="173"/>
      <c r="U269" s="56"/>
    </row>
    <row r="270" customFormat="false" ht="30" hidden="false" customHeight="true" outlineLevel="0" collapsed="false">
      <c r="B270" s="56"/>
      <c r="C270" s="173"/>
      <c r="D270" s="173"/>
      <c r="E270" s="387" t="s">
        <v>235</v>
      </c>
      <c r="F270" s="244" t="s">
        <v>236</v>
      </c>
      <c r="G270" s="245" t="n">
        <v>1</v>
      </c>
      <c r="H270" s="328" t="s">
        <v>374</v>
      </c>
      <c r="I270" s="245" t="n">
        <v>0</v>
      </c>
      <c r="J270" s="245" t="n">
        <v>22</v>
      </c>
      <c r="K270" s="245" t="s">
        <v>62</v>
      </c>
      <c r="L270" s="246" t="n">
        <f aca="false">IF(J270="",0,(J270/J272)*100)</f>
        <v>100</v>
      </c>
      <c r="M270" s="245" t="n">
        <v>1</v>
      </c>
      <c r="N270" s="247" t="n">
        <v>6</v>
      </c>
      <c r="O270" s="117" t="n">
        <f aca="false">IF(M270=1,1,0)</f>
        <v>1</v>
      </c>
      <c r="P270" s="118" t="n">
        <f aca="false">IF(M270=2,1,0)</f>
        <v>0</v>
      </c>
      <c r="Q270" s="176"/>
      <c r="R270" s="176"/>
      <c r="S270" s="176"/>
      <c r="T270" s="173"/>
      <c r="U270" s="56"/>
    </row>
    <row r="271" customFormat="false" ht="30" hidden="false" customHeight="true" outlineLevel="0" collapsed="false">
      <c r="B271" s="56"/>
      <c r="C271" s="173"/>
      <c r="D271" s="173"/>
      <c r="E271" s="252" t="s">
        <v>30</v>
      </c>
      <c r="F271" s="39" t="s">
        <v>31</v>
      </c>
      <c r="G271" s="253" t="n">
        <v>2</v>
      </c>
      <c r="H271" s="254" t="s">
        <v>375</v>
      </c>
      <c r="I271" s="253" t="n">
        <v>0</v>
      </c>
      <c r="J271" s="253" t="n">
        <v>16</v>
      </c>
      <c r="K271" s="254" t="s">
        <v>62</v>
      </c>
      <c r="L271" s="255" t="n">
        <f aca="false">IF(J271="",0,(J271/J272)*100)</f>
        <v>72.7272727272727</v>
      </c>
      <c r="M271" s="253" t="n">
        <v>2</v>
      </c>
      <c r="N271" s="256" t="n">
        <v>0</v>
      </c>
      <c r="O271" s="136" t="n">
        <f aca="false">IF(M271=1,1,0)</f>
        <v>0</v>
      </c>
      <c r="P271" s="137" t="n">
        <f aca="false">IF(M271=2,1,0)</f>
        <v>1</v>
      </c>
      <c r="Q271" s="176"/>
      <c r="R271" s="176"/>
      <c r="S271" s="176"/>
      <c r="T271" s="173"/>
      <c r="U271" s="56"/>
    </row>
    <row r="272" customFormat="false" ht="20.1" hidden="true" customHeight="true" outlineLevel="1" collapsed="false">
      <c r="B272" s="56"/>
      <c r="C272" s="173"/>
      <c r="D272" s="173"/>
      <c r="E272" s="173"/>
      <c r="F272" s="178"/>
      <c r="G272" s="178"/>
      <c r="H272" s="173"/>
      <c r="I272" s="170" t="s">
        <v>94</v>
      </c>
      <c r="J272" s="141" t="n">
        <f aca="false">MAX(J270:J271)</f>
        <v>22</v>
      </c>
      <c r="K272" s="179"/>
      <c r="L272" s="176"/>
      <c r="M272" s="173"/>
      <c r="N272" s="144" t="s">
        <v>95</v>
      </c>
      <c r="O272" s="145" t="n">
        <f aca="false">SUM(O270:O271)</f>
        <v>1</v>
      </c>
      <c r="P272" s="158" t="n">
        <f aca="false">SUM(P270:P271)</f>
        <v>1</v>
      </c>
      <c r="Q272" s="180"/>
      <c r="R272" s="180"/>
      <c r="S272" s="180"/>
      <c r="T272" s="173"/>
      <c r="U272" s="56"/>
    </row>
    <row r="273" customFormat="false" ht="20.1" hidden="false" customHeight="true" outlineLevel="0" collapsed="false">
      <c r="B273" s="56"/>
      <c r="C273" s="173"/>
      <c r="D273" s="173"/>
      <c r="E273" s="173"/>
      <c r="F273" s="173"/>
      <c r="G273" s="173"/>
      <c r="H273" s="173"/>
      <c r="I273" s="173"/>
      <c r="J273" s="173"/>
      <c r="K273" s="173"/>
      <c r="L273" s="173"/>
      <c r="M273" s="173"/>
      <c r="N273" s="173"/>
      <c r="O273" s="173"/>
      <c r="P273" s="173"/>
      <c r="Q273" s="173"/>
      <c r="R273" s="173"/>
      <c r="S273" s="173"/>
      <c r="T273" s="173"/>
      <c r="U273" s="56"/>
    </row>
    <row r="274" customFormat="false" ht="20.1" hidden="false" customHeight="true" outlineLevel="0" collapsed="false">
      <c r="B274" s="56"/>
      <c r="D274" s="5"/>
      <c r="E274" s="5"/>
      <c r="F274" s="5"/>
      <c r="G274" s="5"/>
      <c r="H274" s="5"/>
      <c r="I274" s="5"/>
      <c r="J274" s="5"/>
      <c r="U274" s="56"/>
    </row>
    <row r="275" customFormat="false" ht="30" hidden="false" customHeight="true" outlineLevel="0" collapsed="false">
      <c r="B275" s="56"/>
      <c r="C275" s="181"/>
      <c r="D275" s="341"/>
      <c r="E275" s="182" t="s">
        <v>228</v>
      </c>
      <c r="F275" s="182"/>
      <c r="G275" s="182"/>
      <c r="H275" s="182"/>
      <c r="I275" s="182"/>
      <c r="J275" s="182"/>
      <c r="K275" s="182"/>
      <c r="L275" s="182"/>
      <c r="M275" s="182"/>
      <c r="N275" s="182"/>
      <c r="O275" s="341"/>
      <c r="P275" s="341"/>
      <c r="Q275" s="341"/>
      <c r="R275" s="341"/>
      <c r="S275" s="341"/>
      <c r="T275" s="181"/>
      <c r="U275" s="56"/>
    </row>
    <row r="276" customFormat="false" ht="50.1" hidden="false" customHeight="true" outlineLevel="0" collapsed="false">
      <c r="B276" s="56"/>
      <c r="C276" s="181"/>
      <c r="D276" s="181"/>
      <c r="E276" s="183" t="s">
        <v>48</v>
      </c>
      <c r="F276" s="184" t="s">
        <v>223</v>
      </c>
      <c r="G276" s="185" t="s">
        <v>88</v>
      </c>
      <c r="H276" s="186" t="s">
        <v>101</v>
      </c>
      <c r="I276" s="187" t="s">
        <v>102</v>
      </c>
      <c r="J276" s="187"/>
      <c r="K276" s="188" t="s">
        <v>103</v>
      </c>
      <c r="L276" s="189" t="s">
        <v>104</v>
      </c>
      <c r="M276" s="185" t="s">
        <v>105</v>
      </c>
      <c r="N276" s="184" t="s">
        <v>108</v>
      </c>
      <c r="O276" s="342"/>
      <c r="P276" s="343"/>
      <c r="Q276" s="343"/>
      <c r="R276" s="343"/>
      <c r="S276" s="342"/>
      <c r="T276" s="181"/>
      <c r="U276" s="56"/>
    </row>
    <row r="277" customFormat="false" ht="20.1" hidden="false" customHeight="true" outlineLevel="0" collapsed="false">
      <c r="B277" s="56"/>
      <c r="C277" s="181"/>
      <c r="D277" s="181"/>
      <c r="E277" s="192" t="s">
        <v>235</v>
      </c>
      <c r="F277" s="344" t="s">
        <v>236</v>
      </c>
      <c r="G277" s="269" t="n">
        <f aca="false">L277*6+M277*0</f>
        <v>18</v>
      </c>
      <c r="H277" s="270" t="n">
        <v>0</v>
      </c>
      <c r="I277" s="270" t="s">
        <v>62</v>
      </c>
      <c r="J277" s="270"/>
      <c r="K277" s="269" t="n">
        <f aca="false">G277+H277</f>
        <v>18</v>
      </c>
      <c r="L277" s="269" t="n">
        <v>3</v>
      </c>
      <c r="M277" s="269" t="n">
        <v>1</v>
      </c>
      <c r="N277" s="272" t="n">
        <f aca="false">(L249+L256+L263+L270)/4</f>
        <v>98.546511627907</v>
      </c>
      <c r="O277" s="291"/>
      <c r="P277" s="289"/>
      <c r="Q277" s="289"/>
      <c r="R277" s="289"/>
      <c r="S277" s="292"/>
      <c r="T277" s="181"/>
      <c r="U277" s="56"/>
    </row>
    <row r="278" customFormat="false" ht="20.1" hidden="false" customHeight="true" outlineLevel="0" collapsed="false">
      <c r="B278" s="56"/>
      <c r="C278" s="181"/>
      <c r="D278" s="181"/>
      <c r="E278" s="282" t="s">
        <v>30</v>
      </c>
      <c r="F278" s="388" t="s">
        <v>31</v>
      </c>
      <c r="G278" s="284" t="n">
        <f aca="false">L278*6+M278*0</f>
        <v>6</v>
      </c>
      <c r="H278" s="285" t="n">
        <v>0</v>
      </c>
      <c r="I278" s="285" t="s">
        <v>62</v>
      </c>
      <c r="J278" s="285"/>
      <c r="K278" s="284" t="n">
        <f aca="false">G278+H278</f>
        <v>6</v>
      </c>
      <c r="L278" s="284" t="n">
        <v>1</v>
      </c>
      <c r="M278" s="284" t="n">
        <v>3</v>
      </c>
      <c r="N278" s="287" t="n">
        <f aca="false">(L250+L257+L264+L271)/4</f>
        <v>80.5194805194805</v>
      </c>
      <c r="O278" s="291"/>
      <c r="P278" s="289"/>
      <c r="Q278" s="289"/>
      <c r="R278" s="289"/>
      <c r="S278" s="292"/>
      <c r="T278" s="181"/>
      <c r="U278" s="56"/>
    </row>
    <row r="279" customFormat="false" ht="20.1" hidden="false" customHeight="true" outlineLevel="0" collapsed="false">
      <c r="B279" s="56"/>
      <c r="C279" s="181"/>
      <c r="D279" s="181"/>
      <c r="E279" s="181"/>
      <c r="F279" s="210"/>
      <c r="G279" s="210"/>
      <c r="H279" s="210"/>
      <c r="I279" s="210"/>
      <c r="J279" s="210"/>
      <c r="K279" s="210"/>
      <c r="L279" s="210"/>
      <c r="M279" s="210"/>
      <c r="N279" s="210"/>
      <c r="O279" s="210"/>
      <c r="P279" s="210"/>
      <c r="Q279" s="210"/>
      <c r="R279" s="210"/>
      <c r="S279" s="210"/>
      <c r="T279" s="181"/>
      <c r="U279" s="56"/>
    </row>
    <row r="280" customFormat="false" ht="20.1" hidden="false" customHeight="true" outlineLevel="0" collapsed="false">
      <c r="B280" s="56"/>
      <c r="C280" s="56"/>
      <c r="D280" s="213"/>
      <c r="E280" s="213"/>
      <c r="F280" s="164"/>
      <c r="G280" s="164"/>
      <c r="H280" s="213"/>
      <c r="I280" s="213"/>
      <c r="J280" s="213"/>
      <c r="K280" s="56"/>
      <c r="L280" s="56"/>
      <c r="M280" s="56"/>
      <c r="N280" s="56"/>
      <c r="O280" s="56"/>
      <c r="P280" s="56"/>
      <c r="Q280" s="56"/>
      <c r="R280" s="56"/>
      <c r="S280" s="56"/>
      <c r="T280" s="56"/>
      <c r="U280" s="56"/>
    </row>
  </sheetData>
  <mergeCells count="318">
    <mergeCell ref="A1:N2"/>
    <mergeCell ref="B4:H4"/>
    <mergeCell ref="J4:L4"/>
    <mergeCell ref="B5:C5"/>
    <mergeCell ref="B6:C6"/>
    <mergeCell ref="K6:K9"/>
    <mergeCell ref="B7:C7"/>
    <mergeCell ref="B8:C8"/>
    <mergeCell ref="B9:C9"/>
    <mergeCell ref="B10:C10"/>
    <mergeCell ref="K10:K13"/>
    <mergeCell ref="B11:C11"/>
    <mergeCell ref="B12:C12"/>
    <mergeCell ref="B13:C13"/>
    <mergeCell ref="B14:C14"/>
    <mergeCell ref="K14:K16"/>
    <mergeCell ref="B15:C15"/>
    <mergeCell ref="B16:C16"/>
    <mergeCell ref="B17:C17"/>
    <mergeCell ref="K17:K18"/>
    <mergeCell ref="B18:C18"/>
    <mergeCell ref="B20:G20"/>
    <mergeCell ref="B21:C21"/>
    <mergeCell ref="B22:C22"/>
    <mergeCell ref="C25:T25"/>
    <mergeCell ref="D27:D28"/>
    <mergeCell ref="E27:E28"/>
    <mergeCell ref="F27:F28"/>
    <mergeCell ref="G27:J27"/>
    <mergeCell ref="L27:S27"/>
    <mergeCell ref="I28:J28"/>
    <mergeCell ref="N28:S28"/>
    <mergeCell ref="I29:J29"/>
    <mergeCell ref="N29:S29"/>
    <mergeCell ref="D30:D31"/>
    <mergeCell ref="E30:E31"/>
    <mergeCell ref="F30:F31"/>
    <mergeCell ref="G30:G31"/>
    <mergeCell ref="H30:H31"/>
    <mergeCell ref="I30:J30"/>
    <mergeCell ref="K30:K31"/>
    <mergeCell ref="L30:L31"/>
    <mergeCell ref="M30:M31"/>
    <mergeCell ref="N30:S31"/>
    <mergeCell ref="I31:J31"/>
    <mergeCell ref="D32:D36"/>
    <mergeCell ref="E32:E36"/>
    <mergeCell ref="F32:F36"/>
    <mergeCell ref="G32:G36"/>
    <mergeCell ref="H32:H36"/>
    <mergeCell ref="I32:J32"/>
    <mergeCell ref="K32:K36"/>
    <mergeCell ref="L32:L36"/>
    <mergeCell ref="M32:M36"/>
    <mergeCell ref="N32:S36"/>
    <mergeCell ref="I33:J33"/>
    <mergeCell ref="I34:J34"/>
    <mergeCell ref="I35:J35"/>
    <mergeCell ref="I36:J36"/>
    <mergeCell ref="D37:D68"/>
    <mergeCell ref="E37:E68"/>
    <mergeCell ref="F37:F68"/>
    <mergeCell ref="G37:G68"/>
    <mergeCell ref="H37:H68"/>
    <mergeCell ref="I37:J37"/>
    <mergeCell ref="K37:K68"/>
    <mergeCell ref="L37:L68"/>
    <mergeCell ref="M37:M68"/>
    <mergeCell ref="N37:S37"/>
    <mergeCell ref="I38:J38"/>
    <mergeCell ref="N38:S38"/>
    <mergeCell ref="I39:J39"/>
    <mergeCell ref="N39:S39"/>
    <mergeCell ref="I40:J40"/>
    <mergeCell ref="N40:S40"/>
    <mergeCell ref="I41:J41"/>
    <mergeCell ref="N41:S41"/>
    <mergeCell ref="I42:J42"/>
    <mergeCell ref="N42:S42"/>
    <mergeCell ref="I43:J43"/>
    <mergeCell ref="N43:S43"/>
    <mergeCell ref="I44:J44"/>
    <mergeCell ref="N44:S44"/>
    <mergeCell ref="I45:J45"/>
    <mergeCell ref="N45:S45"/>
    <mergeCell ref="I46:J46"/>
    <mergeCell ref="N46:S46"/>
    <mergeCell ref="I47:J47"/>
    <mergeCell ref="N47:S47"/>
    <mergeCell ref="I48:J48"/>
    <mergeCell ref="N48:S48"/>
    <mergeCell ref="I49:J49"/>
    <mergeCell ref="N49:S49"/>
    <mergeCell ref="I50:J50"/>
    <mergeCell ref="N50:S50"/>
    <mergeCell ref="I51:J51"/>
    <mergeCell ref="N51:S51"/>
    <mergeCell ref="I52:J52"/>
    <mergeCell ref="N52:S52"/>
    <mergeCell ref="I53:J53"/>
    <mergeCell ref="N53:S53"/>
    <mergeCell ref="I54:J54"/>
    <mergeCell ref="N54:S54"/>
    <mergeCell ref="I55:J55"/>
    <mergeCell ref="N55:S55"/>
    <mergeCell ref="I56:J56"/>
    <mergeCell ref="N56:S56"/>
    <mergeCell ref="I57:J57"/>
    <mergeCell ref="N57:S57"/>
    <mergeCell ref="I58:J58"/>
    <mergeCell ref="N58:S58"/>
    <mergeCell ref="I59:J59"/>
    <mergeCell ref="N59:S59"/>
    <mergeCell ref="I60:J60"/>
    <mergeCell ref="N60:S60"/>
    <mergeCell ref="I61:J61"/>
    <mergeCell ref="N61:S61"/>
    <mergeCell ref="I62:J62"/>
    <mergeCell ref="N62:S62"/>
    <mergeCell ref="I63:J63"/>
    <mergeCell ref="N63:S63"/>
    <mergeCell ref="I64:J64"/>
    <mergeCell ref="N64:S64"/>
    <mergeCell ref="I65:J65"/>
    <mergeCell ref="N65:S65"/>
    <mergeCell ref="I66:J66"/>
    <mergeCell ref="N66:S66"/>
    <mergeCell ref="I67:J67"/>
    <mergeCell ref="N67:S67"/>
    <mergeCell ref="I68:J68"/>
    <mergeCell ref="N68:S68"/>
    <mergeCell ref="E70:N70"/>
    <mergeCell ref="F76:G76"/>
    <mergeCell ref="F77:G77"/>
    <mergeCell ref="E79:N79"/>
    <mergeCell ref="F85:G85"/>
    <mergeCell ref="E88:N88"/>
    <mergeCell ref="F94:G94"/>
    <mergeCell ref="E97:N97"/>
    <mergeCell ref="F103:G103"/>
    <mergeCell ref="D106:S106"/>
    <mergeCell ref="H107:I107"/>
    <mergeCell ref="H108:I108"/>
    <mergeCell ref="H109:I109"/>
    <mergeCell ref="H110:I110"/>
    <mergeCell ref="H111:I111"/>
    <mergeCell ref="H112:I112"/>
    <mergeCell ref="C117:T117"/>
    <mergeCell ref="D119:D120"/>
    <mergeCell ref="E119:E120"/>
    <mergeCell ref="F119:F120"/>
    <mergeCell ref="G119:J119"/>
    <mergeCell ref="L119:S119"/>
    <mergeCell ref="I120:J120"/>
    <mergeCell ref="N120:S120"/>
    <mergeCell ref="D121:D128"/>
    <mergeCell ref="E121:E128"/>
    <mergeCell ref="F121:F128"/>
    <mergeCell ref="G121:G128"/>
    <mergeCell ref="H121:H128"/>
    <mergeCell ref="I121:J121"/>
    <mergeCell ref="K121:K128"/>
    <mergeCell ref="L121:L128"/>
    <mergeCell ref="M121:M128"/>
    <mergeCell ref="N121:S128"/>
    <mergeCell ref="I122:J122"/>
    <mergeCell ref="I123:J123"/>
    <mergeCell ref="I124:J124"/>
    <mergeCell ref="I125:J125"/>
    <mergeCell ref="I126:J126"/>
    <mergeCell ref="I127:J127"/>
    <mergeCell ref="I128:J128"/>
    <mergeCell ref="D129:D130"/>
    <mergeCell ref="E129:E130"/>
    <mergeCell ref="F129:F130"/>
    <mergeCell ref="G129:G130"/>
    <mergeCell ref="H129:H130"/>
    <mergeCell ref="I129:J129"/>
    <mergeCell ref="K129:K130"/>
    <mergeCell ref="L129:L130"/>
    <mergeCell ref="M129:M130"/>
    <mergeCell ref="N129:S130"/>
    <mergeCell ref="I130:J130"/>
    <mergeCell ref="D131:D133"/>
    <mergeCell ref="E131:E133"/>
    <mergeCell ref="F131:F133"/>
    <mergeCell ref="G131:G133"/>
    <mergeCell ref="H131:H133"/>
    <mergeCell ref="I131:J131"/>
    <mergeCell ref="K131:K133"/>
    <mergeCell ref="L131:L133"/>
    <mergeCell ref="M131:M133"/>
    <mergeCell ref="N131:S133"/>
    <mergeCell ref="I132:J132"/>
    <mergeCell ref="I133:J133"/>
    <mergeCell ref="I134:J134"/>
    <mergeCell ref="N134:S134"/>
    <mergeCell ref="E136:N136"/>
    <mergeCell ref="F142:G142"/>
    <mergeCell ref="E145:N145"/>
    <mergeCell ref="F151:G151"/>
    <mergeCell ref="E154:N154"/>
    <mergeCell ref="F160:G160"/>
    <mergeCell ref="E163:N163"/>
    <mergeCell ref="F169:G169"/>
    <mergeCell ref="D172:S172"/>
    <mergeCell ref="H173:I173"/>
    <mergeCell ref="H174:I174"/>
    <mergeCell ref="H175:I175"/>
    <mergeCell ref="Y175:Z175"/>
    <mergeCell ref="H176:I176"/>
    <mergeCell ref="H177:I177"/>
    <mergeCell ref="H178:I178"/>
    <mergeCell ref="C183:T183"/>
    <mergeCell ref="D185:D186"/>
    <mergeCell ref="E185:E186"/>
    <mergeCell ref="F185:F186"/>
    <mergeCell ref="G185:J185"/>
    <mergeCell ref="L185:S185"/>
    <mergeCell ref="I186:J186"/>
    <mergeCell ref="N186:S186"/>
    <mergeCell ref="D187:D189"/>
    <mergeCell ref="E187:E189"/>
    <mergeCell ref="F187:F189"/>
    <mergeCell ref="G187:G189"/>
    <mergeCell ref="H187:H189"/>
    <mergeCell ref="I187:J187"/>
    <mergeCell ref="K187:K189"/>
    <mergeCell ref="L187:L189"/>
    <mergeCell ref="M187:M189"/>
    <mergeCell ref="N187:S189"/>
    <mergeCell ref="I188:J188"/>
    <mergeCell ref="I189:J189"/>
    <mergeCell ref="D190:D191"/>
    <mergeCell ref="E190:E191"/>
    <mergeCell ref="F190:F191"/>
    <mergeCell ref="G190:G191"/>
    <mergeCell ref="H190:H191"/>
    <mergeCell ref="I190:J190"/>
    <mergeCell ref="K190:K191"/>
    <mergeCell ref="L190:L191"/>
    <mergeCell ref="M190:M191"/>
    <mergeCell ref="N190:S191"/>
    <mergeCell ref="I191:J191"/>
    <mergeCell ref="D192:D198"/>
    <mergeCell ref="E192:E198"/>
    <mergeCell ref="F192:F198"/>
    <mergeCell ref="G192:G198"/>
    <mergeCell ref="H192:H198"/>
    <mergeCell ref="I192:J192"/>
    <mergeCell ref="K192:K198"/>
    <mergeCell ref="L192:L198"/>
    <mergeCell ref="M192:M198"/>
    <mergeCell ref="N192:S198"/>
    <mergeCell ref="I193:J193"/>
    <mergeCell ref="I194:J194"/>
    <mergeCell ref="I195:J195"/>
    <mergeCell ref="I196:J196"/>
    <mergeCell ref="I197:J197"/>
    <mergeCell ref="I198:J198"/>
    <mergeCell ref="E200:N200"/>
    <mergeCell ref="F205:G205"/>
    <mergeCell ref="E208:N208"/>
    <mergeCell ref="F213:G213"/>
    <mergeCell ref="E216:N216"/>
    <mergeCell ref="F221:G221"/>
    <mergeCell ref="D224:N224"/>
    <mergeCell ref="H225:I225"/>
    <mergeCell ref="H226:I226"/>
    <mergeCell ref="H227:I227"/>
    <mergeCell ref="H228:I228"/>
    <mergeCell ref="C234:T234"/>
    <mergeCell ref="D236:D237"/>
    <mergeCell ref="E236:E237"/>
    <mergeCell ref="F236:F237"/>
    <mergeCell ref="G236:J236"/>
    <mergeCell ref="L236:S236"/>
    <mergeCell ref="I237:J237"/>
    <mergeCell ref="N237:S237"/>
    <mergeCell ref="I238:J238"/>
    <mergeCell ref="N238:S238"/>
    <mergeCell ref="D239:D240"/>
    <mergeCell ref="E239:E240"/>
    <mergeCell ref="F239:F240"/>
    <mergeCell ref="G239:G240"/>
    <mergeCell ref="H239:H240"/>
    <mergeCell ref="I239:J239"/>
    <mergeCell ref="N239:S239"/>
    <mergeCell ref="I240:J240"/>
    <mergeCell ref="D241:D243"/>
    <mergeCell ref="E241:E243"/>
    <mergeCell ref="F241:F243"/>
    <mergeCell ref="G241:G243"/>
    <mergeCell ref="H241:H243"/>
    <mergeCell ref="I241:J241"/>
    <mergeCell ref="N241:S241"/>
    <mergeCell ref="I242:J242"/>
    <mergeCell ref="I243:J243"/>
    <mergeCell ref="D244:D245"/>
    <mergeCell ref="E244:E245"/>
    <mergeCell ref="F244:F245"/>
    <mergeCell ref="G244:G245"/>
    <mergeCell ref="H244:H245"/>
    <mergeCell ref="I244:J244"/>
    <mergeCell ref="N244:S244"/>
    <mergeCell ref="I245:J245"/>
    <mergeCell ref="E247:N247"/>
    <mergeCell ref="F251:G251"/>
    <mergeCell ref="E254:N254"/>
    <mergeCell ref="F258:G258"/>
    <mergeCell ref="E261:N261"/>
    <mergeCell ref="F265:G265"/>
    <mergeCell ref="E268:N268"/>
    <mergeCell ref="F272:G272"/>
    <mergeCell ref="E275:N275"/>
    <mergeCell ref="I276:J276"/>
    <mergeCell ref="I277:J277"/>
    <mergeCell ref="I278:J278"/>
  </mergeCells>
  <conditionalFormatting sqref="B18:C18 D22:G22 B17 H17:H18 D19:H19 B6:H16">
    <cfRule type="expression" priority="2" aboveAverage="0" equalAverage="0" bottom="0" percent="0" rank="0" text="" dxfId="200">
      <formula>$H6="Nein"</formula>
    </cfRule>
    <cfRule type="expression" priority="3" aboveAverage="0" equalAverage="0" bottom="0" percent="0" rank="0" text="" dxfId="201">
      <formula>$H6="Ja"</formula>
    </cfRule>
  </conditionalFormatting>
  <conditionalFormatting sqref="D112:E112">
    <cfRule type="expression" priority="4" aboveAverage="0" equalAverage="0" bottom="0" percent="0" rank="0" text="" dxfId="202">
      <formula>$I112="Nein"</formula>
    </cfRule>
    <cfRule type="expression" priority="5" aboveAverage="0" equalAverage="0" bottom="0" percent="0" rank="0" text="" dxfId="203">
      <formula>$I112="Ja"</formula>
    </cfRule>
  </conditionalFormatting>
  <conditionalFormatting sqref="D178:E178">
    <cfRule type="expression" priority="6" aboveAverage="0" equalAverage="0" bottom="0" percent="0" rank="0" text="" dxfId="204">
      <formula>$I178="Nein"</formula>
    </cfRule>
    <cfRule type="expression" priority="7" aboveAverage="0" equalAverage="0" bottom="0" percent="0" rank="0" text="" dxfId="205">
      <formula>$I178="Ja"</formula>
    </cfRule>
  </conditionalFormatting>
  <conditionalFormatting sqref="D108:E108">
    <cfRule type="expression" priority="8" aboveAverage="0" equalAverage="0" bottom="0" percent="0" rank="0" text="" dxfId="206">
      <formula>$H108="Nein"</formula>
    </cfRule>
    <cfRule type="expression" priority="9" aboveAverage="0" equalAverage="0" bottom="0" percent="0" rank="0" text="" dxfId="207">
      <formula>$H108="Ja"</formula>
    </cfRule>
  </conditionalFormatting>
  <conditionalFormatting sqref="D109:E109">
    <cfRule type="expression" priority="10" aboveAverage="0" equalAverage="0" bottom="0" percent="0" rank="0" text="" dxfId="208">
      <formula>$H109="Nein"</formula>
    </cfRule>
    <cfRule type="expression" priority="11" aboveAverage="0" equalAverage="0" bottom="0" percent="0" rank="0" text="" dxfId="209">
      <formula>$H109="Ja"</formula>
    </cfRule>
  </conditionalFormatting>
  <conditionalFormatting sqref="D111:E111">
    <cfRule type="expression" priority="12" aboveAverage="0" equalAverage="0" bottom="0" percent="0" rank="0" text="" dxfId="210">
      <formula>$H111="Nein"</formula>
    </cfRule>
    <cfRule type="expression" priority="13" aboveAverage="0" equalAverage="0" bottom="0" percent="0" rank="0" text="" dxfId="211">
      <formula>$H111="Ja"</formula>
    </cfRule>
  </conditionalFormatting>
  <conditionalFormatting sqref="D110:E110">
    <cfRule type="expression" priority="14" aboveAverage="0" equalAverage="0" bottom="0" percent="0" rank="0" text="" dxfId="212">
      <formula>$H110="Nein"</formula>
    </cfRule>
    <cfRule type="expression" priority="15" aboveAverage="0" equalAverage="0" bottom="0" percent="0" rank="0" text="" dxfId="213">
      <formula>$H110="Ja"</formula>
    </cfRule>
  </conditionalFormatting>
  <conditionalFormatting sqref="D174:E174">
    <cfRule type="expression" priority="16" aboveAverage="0" equalAverage="0" bottom="0" percent="0" rank="0" text="" dxfId="214">
      <formula>$H174="Nein"</formula>
    </cfRule>
    <cfRule type="expression" priority="17" aboveAverage="0" equalAverage="0" bottom="0" percent="0" rank="0" text="" dxfId="215">
      <formula>$H174="Ja"</formula>
    </cfRule>
  </conditionalFormatting>
  <conditionalFormatting sqref="D175:E175">
    <cfRule type="expression" priority="18" aboveAverage="0" equalAverage="0" bottom="0" percent="0" rank="0" text="" dxfId="216">
      <formula>$H175="Nein"</formula>
    </cfRule>
    <cfRule type="expression" priority="19" aboveAverage="0" equalAverage="0" bottom="0" percent="0" rank="0" text="" dxfId="217">
      <formula>$H175="Ja"</formula>
    </cfRule>
  </conditionalFormatting>
  <conditionalFormatting sqref="D177:E177">
    <cfRule type="expression" priority="20" aboveAverage="0" equalAverage="0" bottom="0" percent="0" rank="0" text="" dxfId="218">
      <formula>$H177="Nein"</formula>
    </cfRule>
    <cfRule type="expression" priority="21" aboveAverage="0" equalAverage="0" bottom="0" percent="0" rank="0" text="" dxfId="219">
      <formula>$H177="Ja"</formula>
    </cfRule>
  </conditionalFormatting>
  <conditionalFormatting sqref="D176:E176">
    <cfRule type="expression" priority="22" aboveAverage="0" equalAverage="0" bottom="0" percent="0" rank="0" text="" dxfId="220">
      <formula>$H176="Nein"</formula>
    </cfRule>
    <cfRule type="expression" priority="23" aboveAverage="0" equalAverage="0" bottom="0" percent="0" rank="0" text="" dxfId="221">
      <formula>$H176="Ja"</formula>
    </cfRule>
  </conditionalFormatting>
  <conditionalFormatting sqref="D190:E190 D192:E192 D238:E238">
    <cfRule type="expression" priority="24" aboveAverage="0" equalAverage="0" bottom="0" percent="0" rank="0" text="" dxfId="222">
      <formula>$J190="Ja"</formula>
    </cfRule>
    <cfRule type="expression" priority="25" aboveAverage="0" equalAverage="0" bottom="0" percent="0" rank="0" text="" dxfId="223">
      <formula>$J190="Nein"</formula>
    </cfRule>
  </conditionalFormatting>
  <conditionalFormatting sqref="D187:E188">
    <cfRule type="expression" priority="26" aboveAverage="0" equalAverage="0" bottom="0" percent="0" rank="0" text="" dxfId="224">
      <formula>$J187="Ja"</formula>
    </cfRule>
    <cfRule type="expression" priority="27" aboveAverage="0" equalAverage="0" bottom="0" percent="0" rank="0" text="" dxfId="225">
      <formula>$J187="Nein"</formula>
    </cfRule>
  </conditionalFormatting>
  <conditionalFormatting sqref="E277:F277">
    <cfRule type="expression" priority="28" aboveAverage="0" equalAverage="0" bottom="0" percent="0" rank="0" text="" dxfId="226">
      <formula>$J277="Ja"</formula>
    </cfRule>
    <cfRule type="expression" priority="29" aboveAverage="0" equalAverage="0" bottom="0" percent="0" rank="0" text="" dxfId="227">
      <formula>$J277="Nein"</formula>
    </cfRule>
  </conditionalFormatting>
  <conditionalFormatting sqref="E278:F278">
    <cfRule type="expression" priority="30" aboveAverage="0" equalAverage="0" bottom="0" percent="0" rank="0" text="" dxfId="228">
      <formula>$J278="Ja"</formula>
    </cfRule>
    <cfRule type="expression" priority="31" aboveAverage="0" equalAverage="0" bottom="0" percent="0" rank="0" text="" dxfId="229">
      <formula>$J278="Nein"</formula>
    </cfRule>
  </conditionalFormatting>
  <conditionalFormatting sqref="D226:E226">
    <cfRule type="expression" priority="32" aboveAverage="0" equalAverage="0" bottom="0" percent="0" rank="0" text="" dxfId="230">
      <formula>$J226="Ja"</formula>
    </cfRule>
    <cfRule type="expression" priority="33" aboveAverage="0" equalAverage="0" bottom="0" percent="0" rank="0" text="" dxfId="231">
      <formula>$J226="Nein"</formula>
    </cfRule>
  </conditionalFormatting>
  <conditionalFormatting sqref="D227:E227">
    <cfRule type="expression" priority="34" aboveAverage="0" equalAverage="0" bottom="0" percent="0" rank="0" text="" dxfId="232">
      <formula>$J227="Ja"</formula>
    </cfRule>
    <cfRule type="expression" priority="35" aboveAverage="0" equalAverage="0" bottom="0" percent="0" rank="0" text="" dxfId="233">
      <formula>$J227="Nein"</formula>
    </cfRule>
  </conditionalFormatting>
  <conditionalFormatting sqref="D228:E228">
    <cfRule type="expression" priority="36" aboveAverage="0" equalAverage="0" bottom="0" percent="0" rank="0" text="" dxfId="234">
      <formula>$J228="Ja"</formula>
    </cfRule>
    <cfRule type="expression" priority="37" aboveAverage="0" equalAverage="0" bottom="0" percent="0" rank="0" text="" dxfId="235">
      <formula>$J228="Nein"</formula>
    </cfRule>
  </conditionalFormatting>
  <conditionalFormatting sqref="D17:G18">
    <cfRule type="expression" priority="38" aboveAverage="0" equalAverage="0" bottom="0" percent="0" rank="0" text="" dxfId="236">
      <formula>$H17="Nein"</formula>
    </cfRule>
    <cfRule type="expression" priority="39" aboveAverage="0" equalAverage="0" bottom="0" percent="0" rank="0" text="" dxfId="237">
      <formula>$H17="Ja"</formula>
    </cfRule>
  </conditionalFormatting>
  <conditionalFormatting sqref="E72:F75">
    <cfRule type="expression" priority="40" aboveAverage="0" equalAverage="0" bottom="0" percent="0" rank="0" text="" dxfId="238">
      <formula>$H72="Nein"</formula>
    </cfRule>
    <cfRule type="expression" priority="41" aboveAverage="0" equalAverage="0" bottom="0" percent="0" rank="0" text="" dxfId="239">
      <formula>$H72="Ja"</formula>
    </cfRule>
  </conditionalFormatting>
  <conditionalFormatting sqref="E81:F84">
    <cfRule type="expression" priority="42" aboveAverage="0" equalAverage="0" bottom="0" percent="0" rank="0" text="" dxfId="240">
      <formula>$H81="Nein"</formula>
    </cfRule>
    <cfRule type="expression" priority="43" aboveAverage="0" equalAverage="0" bottom="0" percent="0" rank="0" text="" dxfId="241">
      <formula>$H81="Ja"</formula>
    </cfRule>
  </conditionalFormatting>
  <conditionalFormatting sqref="E90:F93">
    <cfRule type="expression" priority="44" aboveAverage="0" equalAverage="0" bottom="0" percent="0" rank="0" text="" dxfId="242">
      <formula>$H90="Nein"</formula>
    </cfRule>
    <cfRule type="expression" priority="45" aboveAverage="0" equalAverage="0" bottom="0" percent="0" rank="0" text="" dxfId="243">
      <formula>$H90="Ja"</formula>
    </cfRule>
  </conditionalFormatting>
  <conditionalFormatting sqref="E99:F102">
    <cfRule type="expression" priority="46" aboveAverage="0" equalAverage="0" bottom="0" percent="0" rank="0" text="" dxfId="244">
      <formula>$H99="Nein"</formula>
    </cfRule>
    <cfRule type="expression" priority="47" aboveAverage="0" equalAverage="0" bottom="0" percent="0" rank="0" text="" dxfId="245">
      <formula>$H99="Ja"</formula>
    </cfRule>
  </conditionalFormatting>
  <conditionalFormatting sqref="E138:F141">
    <cfRule type="expression" priority="48" aboveAverage="0" equalAverage="0" bottom="0" percent="0" rank="0" text="" dxfId="246">
      <formula>$H138="Nein"</formula>
    </cfRule>
    <cfRule type="expression" priority="49" aboveAverage="0" equalAverage="0" bottom="0" percent="0" rank="0" text="" dxfId="247">
      <formula>$H138="Ja"</formula>
    </cfRule>
  </conditionalFormatting>
  <conditionalFormatting sqref="E147:F150">
    <cfRule type="expression" priority="50" aboveAverage="0" equalAverage="0" bottom="0" percent="0" rank="0" text="" dxfId="248">
      <formula>$H147="Nein"</formula>
    </cfRule>
    <cfRule type="expression" priority="51" aboveAverage="0" equalAverage="0" bottom="0" percent="0" rank="0" text="" dxfId="249">
      <formula>$H147="Ja"</formula>
    </cfRule>
  </conditionalFormatting>
  <conditionalFormatting sqref="E156:F159">
    <cfRule type="expression" priority="52" aboveAverage="0" equalAverage="0" bottom="0" percent="0" rank="0" text="" dxfId="250">
      <formula>$H156="Nein"</formula>
    </cfRule>
    <cfRule type="expression" priority="53" aboveAverage="0" equalAverage="0" bottom="0" percent="0" rank="0" text="" dxfId="251">
      <formula>$H156="Ja"</formula>
    </cfRule>
  </conditionalFormatting>
  <conditionalFormatting sqref="E165:F168">
    <cfRule type="expression" priority="54" aboveAverage="0" equalAverage="0" bottom="0" percent="0" rank="0" text="" dxfId="252">
      <formula>$H165="Nein"</formula>
    </cfRule>
    <cfRule type="expression" priority="55" aboveAverage="0" equalAverage="0" bottom="0" percent="0" rank="0" text="" dxfId="253">
      <formula>$H165="Ja"</formula>
    </cfRule>
  </conditionalFormatting>
  <conditionalFormatting sqref="E202:F204">
    <cfRule type="expression" priority="56" aboveAverage="0" equalAverage="0" bottom="0" percent="0" rank="0" text="" dxfId="254">
      <formula>$H202="Nein"</formula>
    </cfRule>
    <cfRule type="expression" priority="57" aboveAverage="0" equalAverage="0" bottom="0" percent="0" rank="0" text="" dxfId="255">
      <formula>$H202="Ja"</formula>
    </cfRule>
  </conditionalFormatting>
  <conditionalFormatting sqref="E210:F212">
    <cfRule type="expression" priority="58" aboveAverage="0" equalAverage="0" bottom="0" percent="0" rank="0" text="" dxfId="256">
      <formula>$H210="Nein"</formula>
    </cfRule>
    <cfRule type="expression" priority="59" aboveAverage="0" equalAverage="0" bottom="0" percent="0" rank="0" text="" dxfId="257">
      <formula>$H210="Ja"</formula>
    </cfRule>
  </conditionalFormatting>
  <conditionalFormatting sqref="E218:F220">
    <cfRule type="expression" priority="60" aboveAverage="0" equalAverage="0" bottom="0" percent="0" rank="0" text="" dxfId="258">
      <formula>$H218="Nein"</formula>
    </cfRule>
    <cfRule type="expression" priority="61" aboveAverage="0" equalAverage="0" bottom="0" percent="0" rank="0" text="" dxfId="259">
      <formula>$H218="Ja"</formula>
    </cfRule>
  </conditionalFormatting>
  <conditionalFormatting sqref="E263:F264">
    <cfRule type="expression" priority="62" aboveAverage="0" equalAverage="0" bottom="0" percent="0" rank="0" text="" dxfId="260">
      <formula>$H263="Nein"</formula>
    </cfRule>
    <cfRule type="expression" priority="63" aboveAverage="0" equalAverage="0" bottom="0" percent="0" rank="0" text="" dxfId="261">
      <formula>$H263="Ja"</formula>
    </cfRule>
  </conditionalFormatting>
  <conditionalFormatting sqref="E270:F271">
    <cfRule type="expression" priority="64" aboveAverage="0" equalAverage="0" bottom="0" percent="0" rank="0" text="" dxfId="262">
      <formula>$H270="Nein"</formula>
    </cfRule>
    <cfRule type="expression" priority="65" aboveAverage="0" equalAverage="0" bottom="0" percent="0" rank="0" text="" dxfId="263">
      <formula>$H270="Ja"</formula>
    </cfRule>
  </conditionalFormatting>
  <conditionalFormatting sqref="E256:F257">
    <cfRule type="expression" priority="66" aboveAverage="0" equalAverage="0" bottom="0" percent="0" rank="0" text="" dxfId="264">
      <formula>$H256="Nein"</formula>
    </cfRule>
    <cfRule type="expression" priority="67" aboveAverage="0" equalAverage="0" bottom="0" percent="0" rank="0" text="" dxfId="265">
      <formula>$H256="Ja"</formula>
    </cfRule>
  </conditionalFormatting>
  <conditionalFormatting sqref="E249:F250">
    <cfRule type="expression" priority="68" aboveAverage="0" equalAverage="0" bottom="0" percent="0" rank="0" text="" dxfId="266">
      <formula>$H249="Nein"</formula>
    </cfRule>
    <cfRule type="expression" priority="69" aboveAverage="0" equalAverage="0" bottom="0" percent="0" rank="0" text="" dxfId="267">
      <formula>$H249="Ja"</formula>
    </cfRule>
  </conditionalFormatting>
  <dataValidations count="1">
    <dataValidation allowBlank="true" operator="between" showDropDown="false" showErrorMessage="true" showInputMessage="true" sqref="H6:H19"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242"/>
  <sheetViews>
    <sheetView showFormulas="false" showGridLines="false" showRowColHeaders="true" showZeros="true" rightToLeft="false" tabSelected="true" showOutlineSymbols="true" defaultGridColor="true" view="normal" topLeftCell="A25" colorId="64" zoomScale="100" zoomScaleNormal="100" zoomScalePageLayoutView="100" workbookViewId="0">
      <selection pane="topLeft" activeCell="G29" activeCellId="0" sqref="G29"/>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6"/>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2" t="s">
        <v>376</v>
      </c>
      <c r="B1" s="2"/>
      <c r="C1" s="2"/>
      <c r="D1" s="2"/>
      <c r="E1" s="2"/>
      <c r="F1" s="2"/>
      <c r="G1" s="2"/>
      <c r="H1" s="2"/>
      <c r="I1" s="2"/>
      <c r="J1" s="2"/>
      <c r="K1" s="2"/>
      <c r="L1" s="2"/>
      <c r="M1" s="2"/>
      <c r="N1" s="2"/>
    </row>
    <row r="2" customFormat="false" ht="15" hidden="false" customHeight="false" outlineLevel="0" collapsed="false">
      <c r="A2" s="2"/>
      <c r="B2" s="2"/>
      <c r="C2" s="2"/>
      <c r="D2" s="2"/>
      <c r="E2" s="2"/>
      <c r="F2" s="2"/>
      <c r="G2" s="2"/>
      <c r="H2" s="2"/>
      <c r="I2" s="2"/>
      <c r="J2" s="2"/>
      <c r="K2" s="2"/>
      <c r="L2" s="2"/>
      <c r="M2" s="2"/>
      <c r="N2" s="2"/>
    </row>
    <row r="3" customFormat="false" ht="20.1" hidden="false" customHeight="true" outlineLevel="0" collapsed="false"/>
    <row r="4" customFormat="false" ht="15.75" hidden="false" customHeight="false" outlineLevel="0" collapsed="false">
      <c r="B4" s="438" t="s">
        <v>377</v>
      </c>
      <c r="C4" s="438"/>
      <c r="D4" s="438"/>
      <c r="E4" s="438"/>
      <c r="F4" s="438"/>
      <c r="G4" s="438"/>
      <c r="H4" s="438"/>
      <c r="J4" s="3" t="s">
        <v>2</v>
      </c>
      <c r="K4" s="3"/>
      <c r="L4" s="3"/>
      <c r="O4" s="4"/>
      <c r="P4" s="4"/>
      <c r="Q4" s="4"/>
      <c r="R4" s="5"/>
      <c r="S4" s="4"/>
      <c r="T4" s="4"/>
      <c r="U4" s="4"/>
      <c r="V4" s="4"/>
    </row>
    <row r="5" customFormat="false" ht="50.1" hidden="false" customHeight="true" outlineLevel="0" collapsed="false">
      <c r="B5" s="439" t="s">
        <v>378</v>
      </c>
      <c r="C5" s="439"/>
      <c r="D5" s="440" t="s">
        <v>4</v>
      </c>
      <c r="E5" s="441" t="s">
        <v>5</v>
      </c>
      <c r="F5" s="441" t="s">
        <v>6</v>
      </c>
      <c r="G5" s="441" t="s">
        <v>7</v>
      </c>
      <c r="H5" s="442" t="s">
        <v>379</v>
      </c>
      <c r="J5" s="10" t="s">
        <v>4</v>
      </c>
      <c r="K5" s="11" t="s">
        <v>9</v>
      </c>
      <c r="L5" s="12" t="s">
        <v>10</v>
      </c>
      <c r="O5" s="5"/>
      <c r="Q5" s="4"/>
      <c r="R5" s="4"/>
      <c r="S5" s="4"/>
      <c r="T5" s="5"/>
      <c r="U5" s="5"/>
    </row>
    <row r="6" customFormat="false" ht="20.1" hidden="false" customHeight="true" outlineLevel="0" collapsed="false">
      <c r="B6" s="22" t="n">
        <v>1</v>
      </c>
      <c r="C6" s="22"/>
      <c r="D6" s="23" t="s">
        <v>17</v>
      </c>
      <c r="E6" s="23" t="s">
        <v>18</v>
      </c>
      <c r="F6" s="23" t="s">
        <v>19</v>
      </c>
      <c r="G6" s="23" t="s">
        <v>19</v>
      </c>
      <c r="H6" s="24" t="s">
        <v>14</v>
      </c>
      <c r="J6" s="18" t="str">
        <f aca="false">D6</f>
        <v>Judith Fulterer</v>
      </c>
      <c r="K6" s="19" t="n">
        <v>1</v>
      </c>
      <c r="L6" s="20" t="n">
        <v>1</v>
      </c>
      <c r="O6" s="21"/>
      <c r="T6" s="21"/>
      <c r="U6" s="21"/>
    </row>
    <row r="7" customFormat="false" ht="20.1" hidden="false" customHeight="true" outlineLevel="0" collapsed="false">
      <c r="B7" s="22" t="n">
        <v>2</v>
      </c>
      <c r="C7" s="22"/>
      <c r="D7" s="23" t="s">
        <v>20</v>
      </c>
      <c r="E7" s="23" t="s">
        <v>21</v>
      </c>
      <c r="F7" s="23" t="s">
        <v>21</v>
      </c>
      <c r="G7" s="23" t="s">
        <v>21</v>
      </c>
      <c r="H7" s="24" t="s">
        <v>14</v>
      </c>
      <c r="J7" s="25" t="str">
        <f aca="false">D7</f>
        <v>Andreas Micke</v>
      </c>
      <c r="K7" s="19"/>
      <c r="L7" s="26" t="n">
        <v>2</v>
      </c>
      <c r="O7" s="21"/>
      <c r="T7" s="21"/>
      <c r="U7" s="21"/>
    </row>
    <row r="8" customFormat="false" ht="20.1" hidden="false" customHeight="true" outlineLevel="0" collapsed="false">
      <c r="B8" s="22" t="n">
        <v>3</v>
      </c>
      <c r="C8" s="22"/>
      <c r="D8" s="23" t="s">
        <v>15</v>
      </c>
      <c r="E8" s="23" t="s">
        <v>16</v>
      </c>
      <c r="F8" s="23" t="s">
        <v>16</v>
      </c>
      <c r="G8" s="23" t="s">
        <v>16</v>
      </c>
      <c r="H8" s="24" t="s">
        <v>14</v>
      </c>
      <c r="J8" s="25" t="str">
        <f aca="false">D8</f>
        <v>Devid Fulterer</v>
      </c>
      <c r="K8" s="19"/>
      <c r="L8" s="26" t="n">
        <v>3</v>
      </c>
      <c r="O8" s="21"/>
      <c r="T8" s="21"/>
      <c r="U8" s="21"/>
    </row>
    <row r="9" customFormat="false" ht="20.1" hidden="false" customHeight="true" outlineLevel="0" collapsed="false">
      <c r="B9" s="22" t="n">
        <v>4</v>
      </c>
      <c r="C9" s="22"/>
      <c r="D9" s="29" t="s">
        <v>11</v>
      </c>
      <c r="E9" s="29" t="s">
        <v>12</v>
      </c>
      <c r="F9" s="32" t="s">
        <v>12</v>
      </c>
      <c r="G9" s="23" t="s">
        <v>12</v>
      </c>
      <c r="H9" s="24" t="s">
        <v>14</v>
      </c>
      <c r="J9" s="27" t="str">
        <f aca="false">D9</f>
        <v>Bea Kittner</v>
      </c>
      <c r="K9" s="19"/>
      <c r="L9" s="28" t="n">
        <v>4</v>
      </c>
      <c r="O9" s="21"/>
      <c r="T9" s="21"/>
      <c r="U9" s="21"/>
    </row>
    <row r="10" customFormat="false" ht="20.1" hidden="false" customHeight="true" outlineLevel="0" collapsed="false">
      <c r="B10" s="22" t="n">
        <v>5</v>
      </c>
      <c r="C10" s="22"/>
      <c r="D10" s="33" t="s">
        <v>37</v>
      </c>
      <c r="E10" s="29" t="s">
        <v>38</v>
      </c>
      <c r="F10" s="32" t="s">
        <v>38</v>
      </c>
      <c r="G10" s="34" t="s">
        <v>38</v>
      </c>
      <c r="H10" s="24" t="s">
        <v>14</v>
      </c>
      <c r="J10" s="18" t="str">
        <f aca="false">D10</f>
        <v>Marc Lambrecht</v>
      </c>
      <c r="K10" s="19" t="n">
        <v>2</v>
      </c>
      <c r="L10" s="20" t="n">
        <v>1</v>
      </c>
      <c r="O10" s="21"/>
      <c r="T10" s="21"/>
      <c r="U10" s="21"/>
    </row>
    <row r="11" customFormat="false" ht="20.1" hidden="false" customHeight="true" outlineLevel="0" collapsed="false">
      <c r="B11" s="22" t="n">
        <v>6</v>
      </c>
      <c r="C11" s="22"/>
      <c r="D11" s="23" t="s">
        <v>24</v>
      </c>
      <c r="E11" s="23" t="s">
        <v>25</v>
      </c>
      <c r="F11" s="23" t="s">
        <v>25</v>
      </c>
      <c r="G11" s="23" t="s">
        <v>25</v>
      </c>
      <c r="H11" s="24" t="s">
        <v>14</v>
      </c>
      <c r="J11" s="25" t="str">
        <f aca="false">D11</f>
        <v>Jonas Röhrig</v>
      </c>
      <c r="K11" s="19"/>
      <c r="L11" s="26" t="n">
        <v>2</v>
      </c>
      <c r="O11" s="21"/>
      <c r="T11" s="21"/>
      <c r="U11" s="21"/>
    </row>
    <row r="12" customFormat="false" ht="20.1" hidden="false" customHeight="true" outlineLevel="0" collapsed="false">
      <c r="B12" s="22" t="n">
        <v>7</v>
      </c>
      <c r="C12" s="22"/>
      <c r="D12" s="33" t="s">
        <v>159</v>
      </c>
      <c r="E12" s="29" t="s">
        <v>160</v>
      </c>
      <c r="F12" s="32" t="s">
        <v>160</v>
      </c>
      <c r="G12" s="34" t="s">
        <v>13</v>
      </c>
      <c r="H12" s="24" t="s">
        <v>14</v>
      </c>
      <c r="J12" s="25" t="str">
        <f aca="false">D12</f>
        <v>Jan Unland</v>
      </c>
      <c r="K12" s="19"/>
      <c r="L12" s="26" t="n">
        <v>3</v>
      </c>
      <c r="O12" s="21"/>
      <c r="T12" s="21"/>
      <c r="U12" s="21"/>
    </row>
    <row r="13" customFormat="false" ht="20.1" hidden="false" customHeight="true" outlineLevel="0" collapsed="false">
      <c r="B13" s="22" t="n">
        <v>8</v>
      </c>
      <c r="C13" s="22"/>
      <c r="D13" s="29" t="s">
        <v>35</v>
      </c>
      <c r="E13" s="29" t="s">
        <v>36</v>
      </c>
      <c r="F13" s="32" t="s">
        <v>36</v>
      </c>
      <c r="G13" s="23" t="s">
        <v>36</v>
      </c>
      <c r="H13" s="24" t="s">
        <v>14</v>
      </c>
      <c r="J13" s="27" t="str">
        <f aca="false">D13</f>
        <v>Daniel Zimmermann</v>
      </c>
      <c r="K13" s="19"/>
      <c r="L13" s="28" t="n">
        <v>4</v>
      </c>
      <c r="O13" s="21"/>
      <c r="T13" s="21"/>
      <c r="U13" s="21"/>
    </row>
    <row r="14" customFormat="false" ht="20.1" hidden="false" customHeight="true" outlineLevel="0" collapsed="false">
      <c r="B14" s="22" t="n">
        <v>9</v>
      </c>
      <c r="C14" s="22"/>
      <c r="D14" s="29" t="s">
        <v>26</v>
      </c>
      <c r="E14" s="29" t="s">
        <v>27</v>
      </c>
      <c r="F14" s="32" t="s">
        <v>27</v>
      </c>
      <c r="G14" s="23" t="s">
        <v>27</v>
      </c>
      <c r="H14" s="24" t="s">
        <v>14</v>
      </c>
      <c r="J14" s="18" t="str">
        <f aca="false">D14</f>
        <v>Markus Hagenauer</v>
      </c>
      <c r="K14" s="19" t="n">
        <v>3</v>
      </c>
      <c r="L14" s="20" t="n">
        <v>1</v>
      </c>
      <c r="O14" s="21"/>
      <c r="T14" s="21"/>
      <c r="U14" s="21"/>
    </row>
    <row r="15" customFormat="false" ht="20.1" hidden="false" customHeight="true" outlineLevel="0" collapsed="false">
      <c r="B15" s="22" t="n">
        <v>10</v>
      </c>
      <c r="C15" s="22"/>
      <c r="D15" s="29" t="s">
        <v>33</v>
      </c>
      <c r="E15" s="29" t="s">
        <v>34</v>
      </c>
      <c r="F15" s="32" t="s">
        <v>34</v>
      </c>
      <c r="G15" s="23" t="s">
        <v>34</v>
      </c>
      <c r="H15" s="24" t="s">
        <v>14</v>
      </c>
      <c r="J15" s="25" t="str">
        <f aca="false">D15</f>
        <v>Kai Maibaum</v>
      </c>
      <c r="K15" s="19"/>
      <c r="L15" s="26" t="n">
        <v>2</v>
      </c>
      <c r="O15" s="21"/>
      <c r="T15" s="21"/>
      <c r="U15" s="21"/>
    </row>
    <row r="16" customFormat="false" ht="20.1" hidden="false" customHeight="true" outlineLevel="0" collapsed="false">
      <c r="B16" s="22" t="n">
        <v>11</v>
      </c>
      <c r="C16" s="22"/>
      <c r="D16" s="33" t="s">
        <v>235</v>
      </c>
      <c r="E16" s="29" t="s">
        <v>236</v>
      </c>
      <c r="F16" s="32" t="s">
        <v>236</v>
      </c>
      <c r="G16" s="34" t="s">
        <v>13</v>
      </c>
      <c r="H16" s="24" t="s">
        <v>14</v>
      </c>
      <c r="J16" s="36" t="str">
        <f aca="false">D16</f>
        <v>Alexandra Janssen</v>
      </c>
      <c r="K16" s="19"/>
      <c r="L16" s="26" t="n">
        <v>3</v>
      </c>
      <c r="O16" s="21"/>
      <c r="T16" s="21"/>
      <c r="U16" s="21"/>
    </row>
    <row r="17" customFormat="false" ht="20.1" hidden="false" customHeight="true" outlineLevel="0" collapsed="false">
      <c r="B17" s="37" t="n">
        <v>12</v>
      </c>
      <c r="C17" s="37"/>
      <c r="D17" s="38" t="s">
        <v>30</v>
      </c>
      <c r="E17" s="39" t="s">
        <v>31</v>
      </c>
      <c r="F17" s="40" t="s">
        <v>31</v>
      </c>
      <c r="G17" s="41" t="s">
        <v>13</v>
      </c>
      <c r="H17" s="42" t="s">
        <v>32</v>
      </c>
      <c r="J17" s="43" t="str">
        <f aca="false">D17</f>
        <v>Fabian Spaniol</v>
      </c>
      <c r="K17" s="19"/>
      <c r="L17" s="44" t="n">
        <v>4</v>
      </c>
      <c r="O17" s="21"/>
      <c r="T17" s="21"/>
      <c r="U17" s="21"/>
    </row>
    <row r="18" customFormat="false" ht="20.1" hidden="false" customHeight="true" outlineLevel="0" collapsed="false">
      <c r="D18" s="443"/>
      <c r="E18" s="443"/>
      <c r="F18" s="444"/>
      <c r="G18" s="445"/>
      <c r="H18" s="443"/>
      <c r="J18" s="389" t="s">
        <v>380</v>
      </c>
      <c r="K18" s="389"/>
      <c r="L18" s="48" t="n">
        <f aca="false">ROWS(L6:L17)</f>
        <v>12</v>
      </c>
      <c r="N18" s="4"/>
      <c r="O18" s="4"/>
      <c r="Q18" s="4"/>
      <c r="R18" s="4"/>
      <c r="S18" s="4"/>
      <c r="T18" s="4"/>
    </row>
    <row r="19" customFormat="false" ht="15.75" hidden="false" customHeight="false" outlineLevel="0" collapsed="false">
      <c r="B19" s="3" t="s">
        <v>381</v>
      </c>
      <c r="C19" s="3"/>
      <c r="D19" s="3"/>
      <c r="E19" s="3"/>
      <c r="F19" s="3"/>
      <c r="G19" s="3"/>
      <c r="K19" s="49"/>
      <c r="L19" s="49"/>
      <c r="M19" s="49"/>
      <c r="N19" s="5"/>
      <c r="O19" s="4"/>
      <c r="P19" s="4"/>
      <c r="R19" s="4"/>
      <c r="S19" s="4"/>
      <c r="T19" s="4"/>
      <c r="U19" s="4"/>
    </row>
    <row r="20" customFormat="false" ht="30.75" hidden="false" customHeight="true" outlineLevel="0" collapsed="false">
      <c r="B20" s="6" t="s">
        <v>41</v>
      </c>
      <c r="C20" s="6"/>
      <c r="D20" s="50" t="s">
        <v>4</v>
      </c>
      <c r="E20" s="8" t="s">
        <v>5</v>
      </c>
      <c r="F20" s="8" t="s">
        <v>6</v>
      </c>
      <c r="G20" s="9" t="s">
        <v>7</v>
      </c>
      <c r="K20" s="49"/>
      <c r="L20" s="49"/>
      <c r="M20" s="49"/>
      <c r="N20" s="5"/>
      <c r="O20" s="4"/>
      <c r="P20" s="4"/>
      <c r="R20" s="4"/>
      <c r="S20" s="4"/>
      <c r="T20" s="4"/>
      <c r="U20" s="4"/>
    </row>
    <row r="21" customFormat="false" ht="20.1" hidden="false" customHeight="true" outlineLevel="0" collapsed="false">
      <c r="B21" s="316" t="n">
        <v>1</v>
      </c>
      <c r="C21" s="316"/>
      <c r="D21" s="317" t="s">
        <v>382</v>
      </c>
      <c r="E21" s="318" t="s">
        <v>383</v>
      </c>
      <c r="F21" s="319" t="s">
        <v>383</v>
      </c>
      <c r="G21" s="320" t="s">
        <v>13</v>
      </c>
      <c r="N21" s="4"/>
      <c r="O21" s="4"/>
      <c r="Q21" s="4"/>
      <c r="R21" s="4"/>
      <c r="S21" s="4"/>
      <c r="T21" s="4"/>
    </row>
    <row r="22" customFormat="false" ht="20.1" hidden="false" customHeight="true" outlineLevel="0" collapsed="false">
      <c r="L22" s="49"/>
      <c r="M22" s="49"/>
      <c r="N22" s="49"/>
      <c r="O22" s="5"/>
      <c r="P22" s="4"/>
      <c r="Q22" s="4"/>
      <c r="S22" s="4"/>
      <c r="T22" s="4"/>
      <c r="U22" s="4"/>
      <c r="V22" s="4"/>
    </row>
    <row r="23" customFormat="false" ht="20.1" hidden="false" customHeight="true" outlineLevel="0" collapsed="false">
      <c r="B23" s="56"/>
      <c r="C23" s="56"/>
      <c r="D23" s="57"/>
      <c r="E23" s="57"/>
      <c r="F23" s="57"/>
      <c r="G23" s="57"/>
      <c r="H23" s="56"/>
      <c r="I23" s="56"/>
      <c r="J23" s="56"/>
      <c r="K23" s="56"/>
      <c r="L23" s="56"/>
      <c r="M23" s="56"/>
      <c r="N23" s="56"/>
      <c r="O23" s="56"/>
      <c r="P23" s="56"/>
      <c r="Q23" s="56"/>
      <c r="R23" s="56"/>
      <c r="S23" s="56"/>
      <c r="T23" s="56"/>
      <c r="U23" s="56"/>
    </row>
    <row r="24" customFormat="false" ht="30" hidden="false" customHeight="true" outlineLevel="0" collapsed="false">
      <c r="B24" s="56"/>
      <c r="C24" s="58" t="s">
        <v>47</v>
      </c>
      <c r="D24" s="58"/>
      <c r="E24" s="58"/>
      <c r="F24" s="58"/>
      <c r="G24" s="58"/>
      <c r="H24" s="58"/>
      <c r="I24" s="58"/>
      <c r="J24" s="58"/>
      <c r="K24" s="58"/>
      <c r="L24" s="58"/>
      <c r="M24" s="58"/>
      <c r="N24" s="58"/>
      <c r="O24" s="58"/>
      <c r="P24" s="58"/>
      <c r="Q24" s="58"/>
      <c r="R24" s="58"/>
      <c r="S24" s="58"/>
      <c r="T24" s="58"/>
      <c r="U24" s="56"/>
    </row>
    <row r="25" customFormat="false" ht="20.1" hidden="false" customHeight="true" outlineLevel="0" collapsed="false">
      <c r="B25" s="56"/>
      <c r="U25" s="56"/>
    </row>
    <row r="26" customFormat="false" ht="20.1" hidden="false" customHeight="true" outlineLevel="0" collapsed="false">
      <c r="B26" s="56"/>
      <c r="D26" s="59" t="s">
        <v>48</v>
      </c>
      <c r="E26" s="60" t="s">
        <v>49</v>
      </c>
      <c r="F26" s="61" t="s">
        <v>10</v>
      </c>
      <c r="G26" s="60" t="s">
        <v>50</v>
      </c>
      <c r="H26" s="60"/>
      <c r="I26" s="60"/>
      <c r="J26" s="60"/>
      <c r="K26" s="60" t="s">
        <v>51</v>
      </c>
      <c r="L26" s="62" t="s">
        <v>52</v>
      </c>
      <c r="M26" s="62"/>
      <c r="N26" s="62"/>
      <c r="O26" s="62"/>
      <c r="P26" s="62"/>
      <c r="Q26" s="62"/>
      <c r="R26" s="62"/>
      <c r="S26" s="62"/>
      <c r="U26" s="56"/>
    </row>
    <row r="27" customFormat="false" ht="20.1" hidden="false" customHeight="true" outlineLevel="0" collapsed="false">
      <c r="B27" s="56"/>
      <c r="D27" s="59"/>
      <c r="E27" s="60"/>
      <c r="F27" s="60"/>
      <c r="G27" s="65" t="s">
        <v>53</v>
      </c>
      <c r="H27" s="65" t="s">
        <v>54</v>
      </c>
      <c r="I27" s="61" t="s">
        <v>55</v>
      </c>
      <c r="J27" s="61"/>
      <c r="K27" s="65" t="s">
        <v>56</v>
      </c>
      <c r="L27" s="65" t="s">
        <v>53</v>
      </c>
      <c r="M27" s="66" t="s">
        <v>57</v>
      </c>
      <c r="N27" s="61" t="s">
        <v>55</v>
      </c>
      <c r="O27" s="61"/>
      <c r="P27" s="61"/>
      <c r="Q27" s="61"/>
      <c r="R27" s="61"/>
      <c r="S27" s="61"/>
      <c r="U27" s="56"/>
    </row>
    <row r="28" customFormat="false" ht="30" hidden="false" customHeight="true" outlineLevel="0" collapsed="false">
      <c r="B28" s="56"/>
      <c r="D28" s="390" t="s">
        <v>17</v>
      </c>
      <c r="E28" s="391" t="s">
        <v>18</v>
      </c>
      <c r="F28" s="406" t="n">
        <v>1</v>
      </c>
      <c r="G28" s="68" t="s">
        <v>58</v>
      </c>
      <c r="H28" s="69" t="s">
        <v>367</v>
      </c>
      <c r="I28" s="353" t="s">
        <v>384</v>
      </c>
      <c r="J28" s="353"/>
      <c r="K28" s="446" t="s">
        <v>161</v>
      </c>
      <c r="L28" s="394" t="s">
        <v>62</v>
      </c>
      <c r="M28" s="395" t="s">
        <v>62</v>
      </c>
      <c r="N28" s="220" t="s">
        <v>62</v>
      </c>
      <c r="O28" s="220"/>
      <c r="P28" s="220"/>
      <c r="Q28" s="220"/>
      <c r="R28" s="220"/>
      <c r="S28" s="220"/>
      <c r="U28" s="56"/>
    </row>
    <row r="29" customFormat="false" ht="15" hidden="false" customHeight="true" outlineLevel="0" collapsed="false">
      <c r="B29" s="56"/>
      <c r="D29" s="87" t="s">
        <v>20</v>
      </c>
      <c r="E29" s="88" t="s">
        <v>21</v>
      </c>
      <c r="F29" s="28" t="n">
        <v>2</v>
      </c>
      <c r="G29" s="447" t="s">
        <v>237</v>
      </c>
      <c r="H29" s="448" t="s">
        <v>238</v>
      </c>
      <c r="I29" s="85" t="s">
        <v>239</v>
      </c>
      <c r="J29" s="85"/>
      <c r="K29" s="449" t="s">
        <v>385</v>
      </c>
      <c r="L29" s="450" t="s">
        <v>58</v>
      </c>
      <c r="M29" s="434" t="s">
        <v>61</v>
      </c>
      <c r="N29" s="451"/>
      <c r="O29" s="451"/>
      <c r="P29" s="451"/>
      <c r="Q29" s="451"/>
      <c r="R29" s="451"/>
      <c r="S29" s="451"/>
      <c r="U29" s="56"/>
    </row>
    <row r="30" customFormat="false" ht="15" hidden="false" customHeight="true" outlineLevel="0" collapsed="false">
      <c r="B30" s="56"/>
      <c r="D30" s="87"/>
      <c r="E30" s="88"/>
      <c r="F30" s="28"/>
      <c r="G30" s="447"/>
      <c r="H30" s="448"/>
      <c r="I30" s="85" t="s">
        <v>240</v>
      </c>
      <c r="J30" s="85"/>
      <c r="K30" s="449"/>
      <c r="L30" s="450"/>
      <c r="M30" s="434"/>
      <c r="N30" s="452"/>
      <c r="O30" s="452"/>
      <c r="P30" s="452"/>
      <c r="Q30" s="452"/>
      <c r="R30" s="452"/>
      <c r="S30" s="452"/>
      <c r="U30" s="56"/>
    </row>
    <row r="31" customFormat="false" ht="15" hidden="false" customHeight="true" outlineLevel="0" collapsed="false">
      <c r="B31" s="56"/>
      <c r="D31" s="87"/>
      <c r="E31" s="88"/>
      <c r="F31" s="28"/>
      <c r="G31" s="447"/>
      <c r="H31" s="448"/>
      <c r="I31" s="453" t="s">
        <v>241</v>
      </c>
      <c r="J31" s="453"/>
      <c r="K31" s="449"/>
      <c r="L31" s="450"/>
      <c r="M31" s="434"/>
      <c r="N31" s="452"/>
      <c r="O31" s="452"/>
      <c r="P31" s="452"/>
      <c r="Q31" s="452"/>
      <c r="R31" s="452"/>
      <c r="S31" s="452"/>
      <c r="U31" s="56"/>
    </row>
    <row r="32" customFormat="false" ht="15" hidden="false" customHeight="true" outlineLevel="0" collapsed="false">
      <c r="B32" s="56"/>
      <c r="D32" s="87"/>
      <c r="E32" s="88"/>
      <c r="F32" s="28"/>
      <c r="G32" s="447"/>
      <c r="H32" s="448"/>
      <c r="I32" s="85" t="s">
        <v>242</v>
      </c>
      <c r="J32" s="85"/>
      <c r="K32" s="449"/>
      <c r="L32" s="450"/>
      <c r="M32" s="434"/>
      <c r="N32" s="452"/>
      <c r="O32" s="452"/>
      <c r="P32" s="452"/>
      <c r="Q32" s="452"/>
      <c r="R32" s="452"/>
      <c r="S32" s="452"/>
      <c r="U32" s="56"/>
    </row>
    <row r="33" customFormat="false" ht="15" hidden="false" customHeight="true" outlineLevel="0" collapsed="false">
      <c r="B33" s="56"/>
      <c r="D33" s="87"/>
      <c r="E33" s="88"/>
      <c r="F33" s="28"/>
      <c r="G33" s="447"/>
      <c r="H33" s="448"/>
      <c r="I33" s="85" t="s">
        <v>243</v>
      </c>
      <c r="J33" s="85"/>
      <c r="K33" s="449"/>
      <c r="L33" s="450"/>
      <c r="M33" s="434"/>
      <c r="N33" s="452"/>
      <c r="O33" s="452"/>
      <c r="P33" s="452"/>
      <c r="Q33" s="452"/>
      <c r="R33" s="452"/>
      <c r="S33" s="452"/>
      <c r="U33" s="56"/>
    </row>
    <row r="34" customFormat="false" ht="15" hidden="false" customHeight="true" outlineLevel="0" collapsed="false">
      <c r="B34" s="56"/>
      <c r="D34" s="87"/>
      <c r="E34" s="88"/>
      <c r="F34" s="28"/>
      <c r="G34" s="447"/>
      <c r="H34" s="448"/>
      <c r="I34" s="85" t="s">
        <v>244</v>
      </c>
      <c r="J34" s="85"/>
      <c r="K34" s="449"/>
      <c r="L34" s="450"/>
      <c r="M34" s="434"/>
      <c r="N34" s="452"/>
      <c r="O34" s="452"/>
      <c r="P34" s="452"/>
      <c r="Q34" s="452"/>
      <c r="R34" s="452"/>
      <c r="S34" s="452"/>
      <c r="U34" s="56"/>
    </row>
    <row r="35" customFormat="false" ht="15" hidden="false" customHeight="true" outlineLevel="0" collapsed="false">
      <c r="B35" s="56"/>
      <c r="D35" s="87"/>
      <c r="E35" s="88"/>
      <c r="F35" s="28"/>
      <c r="G35" s="447"/>
      <c r="H35" s="448"/>
      <c r="I35" s="85" t="s">
        <v>245</v>
      </c>
      <c r="J35" s="85"/>
      <c r="K35" s="449"/>
      <c r="L35" s="450"/>
      <c r="M35" s="434"/>
      <c r="N35" s="452"/>
      <c r="O35" s="452"/>
      <c r="P35" s="452"/>
      <c r="Q35" s="452"/>
      <c r="R35" s="452"/>
      <c r="S35" s="452"/>
      <c r="U35" s="56"/>
    </row>
    <row r="36" customFormat="false" ht="27.95" hidden="false" customHeight="true" outlineLevel="0" collapsed="false">
      <c r="B36" s="56"/>
      <c r="D36" s="87"/>
      <c r="E36" s="88"/>
      <c r="F36" s="28"/>
      <c r="G36" s="447"/>
      <c r="H36" s="448"/>
      <c r="I36" s="85" t="s">
        <v>246</v>
      </c>
      <c r="J36" s="85"/>
      <c r="K36" s="449"/>
      <c r="L36" s="450"/>
      <c r="M36" s="434"/>
      <c r="N36" s="452"/>
      <c r="O36" s="452"/>
      <c r="P36" s="452"/>
      <c r="Q36" s="452"/>
      <c r="R36" s="452"/>
      <c r="S36" s="452"/>
      <c r="U36" s="56"/>
    </row>
    <row r="37" customFormat="false" ht="27.95" hidden="false" customHeight="true" outlineLevel="0" collapsed="false">
      <c r="B37" s="56"/>
      <c r="D37" s="87"/>
      <c r="E37" s="88"/>
      <c r="F37" s="28"/>
      <c r="G37" s="447"/>
      <c r="H37" s="448"/>
      <c r="I37" s="85" t="s">
        <v>247</v>
      </c>
      <c r="J37" s="85"/>
      <c r="K37" s="449"/>
      <c r="L37" s="450"/>
      <c r="M37" s="434"/>
      <c r="N37" s="452"/>
      <c r="O37" s="452"/>
      <c r="P37" s="452"/>
      <c r="Q37" s="452"/>
      <c r="R37" s="452"/>
      <c r="S37" s="452"/>
      <c r="U37" s="56"/>
    </row>
    <row r="38" customFormat="false" ht="27.95" hidden="false" customHeight="true" outlineLevel="0" collapsed="false">
      <c r="B38" s="56"/>
      <c r="D38" s="87"/>
      <c r="E38" s="88"/>
      <c r="F38" s="28"/>
      <c r="G38" s="447"/>
      <c r="H38" s="448"/>
      <c r="I38" s="85" t="s">
        <v>248</v>
      </c>
      <c r="J38" s="85"/>
      <c r="K38" s="449"/>
      <c r="L38" s="450"/>
      <c r="M38" s="434"/>
      <c r="N38" s="452"/>
      <c r="O38" s="452"/>
      <c r="P38" s="452"/>
      <c r="Q38" s="452"/>
      <c r="R38" s="452"/>
      <c r="S38" s="452"/>
      <c r="U38" s="56"/>
    </row>
    <row r="39" customFormat="false" ht="27.95" hidden="false" customHeight="true" outlineLevel="0" collapsed="false">
      <c r="B39" s="56"/>
      <c r="D39" s="87"/>
      <c r="E39" s="88"/>
      <c r="F39" s="28"/>
      <c r="G39" s="447"/>
      <c r="H39" s="448"/>
      <c r="I39" s="85" t="s">
        <v>249</v>
      </c>
      <c r="J39" s="85"/>
      <c r="K39" s="449"/>
      <c r="L39" s="450"/>
      <c r="M39" s="434"/>
      <c r="N39" s="452"/>
      <c r="O39" s="452"/>
      <c r="P39" s="452"/>
      <c r="Q39" s="452"/>
      <c r="R39" s="452"/>
      <c r="S39" s="452"/>
      <c r="U39" s="56"/>
    </row>
    <row r="40" customFormat="false" ht="15" hidden="false" customHeight="true" outlineLevel="0" collapsed="false">
      <c r="B40" s="56"/>
      <c r="D40" s="87"/>
      <c r="E40" s="88"/>
      <c r="F40" s="28"/>
      <c r="G40" s="447"/>
      <c r="H40" s="448"/>
      <c r="I40" s="85" t="s">
        <v>250</v>
      </c>
      <c r="J40" s="85"/>
      <c r="K40" s="449"/>
      <c r="L40" s="450"/>
      <c r="M40" s="434"/>
      <c r="N40" s="452"/>
      <c r="O40" s="452"/>
      <c r="P40" s="452"/>
      <c r="Q40" s="452"/>
      <c r="R40" s="452"/>
      <c r="S40" s="452"/>
      <c r="U40" s="56"/>
    </row>
    <row r="41" customFormat="false" ht="15" hidden="false" customHeight="true" outlineLevel="0" collapsed="false">
      <c r="B41" s="56"/>
      <c r="D41" s="87"/>
      <c r="E41" s="88"/>
      <c r="F41" s="28"/>
      <c r="G41" s="447"/>
      <c r="H41" s="448"/>
      <c r="I41" s="85" t="s">
        <v>251</v>
      </c>
      <c r="J41" s="85"/>
      <c r="K41" s="449"/>
      <c r="L41" s="450"/>
      <c r="M41" s="434"/>
      <c r="N41" s="452"/>
      <c r="O41" s="452"/>
      <c r="P41" s="452"/>
      <c r="Q41" s="452"/>
      <c r="R41" s="452"/>
      <c r="S41" s="452"/>
      <c r="U41" s="56"/>
    </row>
    <row r="42" customFormat="false" ht="27.95" hidden="false" customHeight="true" outlineLevel="0" collapsed="false">
      <c r="B42" s="56"/>
      <c r="D42" s="87"/>
      <c r="E42" s="88"/>
      <c r="F42" s="28"/>
      <c r="G42" s="447"/>
      <c r="H42" s="448"/>
      <c r="I42" s="85" t="s">
        <v>252</v>
      </c>
      <c r="J42" s="85"/>
      <c r="K42" s="449"/>
      <c r="L42" s="450"/>
      <c r="M42" s="434"/>
      <c r="N42" s="452"/>
      <c r="O42" s="452"/>
      <c r="P42" s="452"/>
      <c r="Q42" s="452"/>
      <c r="R42" s="452"/>
      <c r="S42" s="452"/>
      <c r="U42" s="56"/>
    </row>
    <row r="43" customFormat="false" ht="15" hidden="false" customHeight="true" outlineLevel="0" collapsed="false">
      <c r="B43" s="56"/>
      <c r="D43" s="87"/>
      <c r="E43" s="88"/>
      <c r="F43" s="28"/>
      <c r="G43" s="447"/>
      <c r="H43" s="448"/>
      <c r="I43" s="85" t="s">
        <v>253</v>
      </c>
      <c r="J43" s="85"/>
      <c r="K43" s="449"/>
      <c r="L43" s="450"/>
      <c r="M43" s="434"/>
      <c r="N43" s="452"/>
      <c r="O43" s="452"/>
      <c r="P43" s="452"/>
      <c r="Q43" s="452"/>
      <c r="R43" s="452"/>
      <c r="S43" s="452"/>
      <c r="U43" s="56"/>
    </row>
    <row r="44" customFormat="false" ht="15" hidden="false" customHeight="true" outlineLevel="0" collapsed="false">
      <c r="B44" s="56"/>
      <c r="D44" s="87"/>
      <c r="E44" s="88"/>
      <c r="F44" s="28"/>
      <c r="G44" s="447"/>
      <c r="H44" s="448"/>
      <c r="I44" s="85" t="s">
        <v>254</v>
      </c>
      <c r="J44" s="85"/>
      <c r="K44" s="449"/>
      <c r="L44" s="450"/>
      <c r="M44" s="434"/>
      <c r="N44" s="452"/>
      <c r="O44" s="452"/>
      <c r="P44" s="452"/>
      <c r="Q44" s="452"/>
      <c r="R44" s="452"/>
      <c r="S44" s="452"/>
      <c r="U44" s="56"/>
    </row>
    <row r="45" customFormat="false" ht="15" hidden="false" customHeight="true" outlineLevel="0" collapsed="false">
      <c r="B45" s="56"/>
      <c r="D45" s="87"/>
      <c r="E45" s="88"/>
      <c r="F45" s="28"/>
      <c r="G45" s="447"/>
      <c r="H45" s="448"/>
      <c r="I45" s="85" t="s">
        <v>255</v>
      </c>
      <c r="J45" s="85"/>
      <c r="K45" s="449"/>
      <c r="L45" s="450"/>
      <c r="M45" s="434"/>
      <c r="N45" s="452" t="s">
        <v>74</v>
      </c>
      <c r="O45" s="452"/>
      <c r="P45" s="452"/>
      <c r="Q45" s="452"/>
      <c r="R45" s="452"/>
      <c r="S45" s="452"/>
      <c r="U45" s="56"/>
    </row>
    <row r="46" customFormat="false" ht="15" hidden="false" customHeight="true" outlineLevel="0" collapsed="false">
      <c r="B46" s="56"/>
      <c r="D46" s="87"/>
      <c r="E46" s="88"/>
      <c r="F46" s="28"/>
      <c r="G46" s="447"/>
      <c r="H46" s="448"/>
      <c r="I46" s="85" t="s">
        <v>256</v>
      </c>
      <c r="J46" s="85"/>
      <c r="K46" s="449"/>
      <c r="L46" s="450"/>
      <c r="M46" s="434"/>
      <c r="N46" s="452" t="s">
        <v>77</v>
      </c>
      <c r="O46" s="452"/>
      <c r="P46" s="452"/>
      <c r="Q46" s="452"/>
      <c r="R46" s="452"/>
      <c r="S46" s="452"/>
      <c r="U46" s="56"/>
    </row>
    <row r="47" customFormat="false" ht="27.95" hidden="false" customHeight="true" outlineLevel="0" collapsed="false">
      <c r="B47" s="56"/>
      <c r="D47" s="87"/>
      <c r="E47" s="88"/>
      <c r="F47" s="28"/>
      <c r="G47" s="447"/>
      <c r="H47" s="448"/>
      <c r="I47" s="454" t="s">
        <v>257</v>
      </c>
      <c r="J47" s="454"/>
      <c r="K47" s="449"/>
      <c r="L47" s="450"/>
      <c r="M47" s="434"/>
      <c r="N47" s="452"/>
      <c r="O47" s="452"/>
      <c r="P47" s="452"/>
      <c r="Q47" s="452"/>
      <c r="R47" s="452"/>
      <c r="S47" s="452"/>
      <c r="U47" s="56"/>
    </row>
    <row r="48" customFormat="false" ht="27.95" hidden="false" customHeight="true" outlineLevel="0" collapsed="false">
      <c r="B48" s="56"/>
      <c r="D48" s="87"/>
      <c r="E48" s="88"/>
      <c r="F48" s="28"/>
      <c r="G48" s="447"/>
      <c r="H48" s="448"/>
      <c r="I48" s="85" t="s">
        <v>258</v>
      </c>
      <c r="J48" s="85"/>
      <c r="K48" s="449"/>
      <c r="L48" s="450"/>
      <c r="M48" s="434"/>
      <c r="N48" s="452"/>
      <c r="O48" s="452"/>
      <c r="P48" s="452"/>
      <c r="Q48" s="452"/>
      <c r="R48" s="452"/>
      <c r="S48" s="452"/>
      <c r="U48" s="56"/>
    </row>
    <row r="49" customFormat="false" ht="27.95" hidden="false" customHeight="true" outlineLevel="0" collapsed="false">
      <c r="B49" s="56"/>
      <c r="D49" s="87"/>
      <c r="E49" s="88"/>
      <c r="F49" s="28"/>
      <c r="G49" s="447"/>
      <c r="H49" s="448"/>
      <c r="I49" s="85" t="s">
        <v>259</v>
      </c>
      <c r="J49" s="85"/>
      <c r="K49" s="449"/>
      <c r="L49" s="450"/>
      <c r="M49" s="434"/>
      <c r="N49" s="452"/>
      <c r="O49" s="452"/>
      <c r="P49" s="452"/>
      <c r="Q49" s="452"/>
      <c r="R49" s="452"/>
      <c r="S49" s="452"/>
      <c r="U49" s="56"/>
    </row>
    <row r="50" customFormat="false" ht="15" hidden="false" customHeight="true" outlineLevel="0" collapsed="false">
      <c r="B50" s="56"/>
      <c r="D50" s="87"/>
      <c r="E50" s="88"/>
      <c r="F50" s="28"/>
      <c r="G50" s="447"/>
      <c r="H50" s="448"/>
      <c r="I50" s="85" t="s">
        <v>260</v>
      </c>
      <c r="J50" s="85"/>
      <c r="K50" s="449"/>
      <c r="L50" s="450"/>
      <c r="M50" s="434"/>
      <c r="N50" s="452"/>
      <c r="O50" s="452"/>
      <c r="P50" s="452"/>
      <c r="Q50" s="452"/>
      <c r="R50" s="452"/>
      <c r="S50" s="452"/>
      <c r="U50" s="56"/>
    </row>
    <row r="51" customFormat="false" ht="27.95" hidden="false" customHeight="true" outlineLevel="0" collapsed="false">
      <c r="B51" s="56"/>
      <c r="D51" s="87"/>
      <c r="E51" s="88"/>
      <c r="F51" s="28"/>
      <c r="G51" s="447"/>
      <c r="H51" s="448"/>
      <c r="I51" s="85" t="s">
        <v>261</v>
      </c>
      <c r="J51" s="85"/>
      <c r="K51" s="449"/>
      <c r="L51" s="450"/>
      <c r="M51" s="434"/>
      <c r="N51" s="452"/>
      <c r="O51" s="452"/>
      <c r="P51" s="452"/>
      <c r="Q51" s="452"/>
      <c r="R51" s="452"/>
      <c r="S51" s="452"/>
      <c r="U51" s="56"/>
    </row>
    <row r="52" customFormat="false" ht="27.95" hidden="false" customHeight="true" outlineLevel="0" collapsed="false">
      <c r="B52" s="56"/>
      <c r="D52" s="87"/>
      <c r="E52" s="88"/>
      <c r="F52" s="28"/>
      <c r="G52" s="447"/>
      <c r="H52" s="448"/>
      <c r="I52" s="85" t="s">
        <v>262</v>
      </c>
      <c r="J52" s="85"/>
      <c r="K52" s="449"/>
      <c r="L52" s="450"/>
      <c r="M52" s="434"/>
      <c r="N52" s="452"/>
      <c r="O52" s="452"/>
      <c r="P52" s="452"/>
      <c r="Q52" s="452"/>
      <c r="R52" s="452"/>
      <c r="S52" s="452"/>
      <c r="U52" s="56"/>
    </row>
    <row r="53" customFormat="false" ht="27.95" hidden="false" customHeight="true" outlineLevel="0" collapsed="false">
      <c r="B53" s="56"/>
      <c r="D53" s="87"/>
      <c r="E53" s="88"/>
      <c r="F53" s="28"/>
      <c r="G53" s="447"/>
      <c r="H53" s="448"/>
      <c r="I53" s="85" t="s">
        <v>263</v>
      </c>
      <c r="J53" s="85"/>
      <c r="K53" s="449"/>
      <c r="L53" s="450"/>
      <c r="M53" s="434"/>
      <c r="N53" s="452"/>
      <c r="O53" s="452"/>
      <c r="P53" s="452"/>
      <c r="Q53" s="452"/>
      <c r="R53" s="452"/>
      <c r="S53" s="452"/>
      <c r="U53" s="56"/>
    </row>
    <row r="54" customFormat="false" ht="27.95" hidden="false" customHeight="true" outlineLevel="0" collapsed="false">
      <c r="B54" s="56"/>
      <c r="D54" s="87"/>
      <c r="E54" s="88"/>
      <c r="F54" s="28"/>
      <c r="G54" s="447"/>
      <c r="H54" s="448"/>
      <c r="I54" s="85" t="s">
        <v>264</v>
      </c>
      <c r="J54" s="85"/>
      <c r="K54" s="449"/>
      <c r="L54" s="450"/>
      <c r="M54" s="434"/>
      <c r="N54" s="452"/>
      <c r="O54" s="452"/>
      <c r="P54" s="452"/>
      <c r="Q54" s="452"/>
      <c r="R54" s="452"/>
      <c r="S54" s="452"/>
      <c r="U54" s="56"/>
    </row>
    <row r="55" customFormat="false" ht="27.95" hidden="false" customHeight="true" outlineLevel="0" collapsed="false">
      <c r="B55" s="56"/>
      <c r="D55" s="87"/>
      <c r="E55" s="88"/>
      <c r="F55" s="28"/>
      <c r="G55" s="447"/>
      <c r="H55" s="448"/>
      <c r="I55" s="85" t="s">
        <v>265</v>
      </c>
      <c r="J55" s="85"/>
      <c r="K55" s="449"/>
      <c r="L55" s="450"/>
      <c r="M55" s="434"/>
      <c r="N55" s="452"/>
      <c r="O55" s="452"/>
      <c r="P55" s="452"/>
      <c r="Q55" s="452"/>
      <c r="R55" s="452"/>
      <c r="S55" s="452"/>
      <c r="U55" s="56"/>
    </row>
    <row r="56" customFormat="false" ht="27.95" hidden="false" customHeight="true" outlineLevel="0" collapsed="false">
      <c r="B56" s="56"/>
      <c r="D56" s="87"/>
      <c r="E56" s="88"/>
      <c r="F56" s="28"/>
      <c r="G56" s="447"/>
      <c r="H56" s="448"/>
      <c r="I56" s="85" t="s">
        <v>266</v>
      </c>
      <c r="J56" s="85"/>
      <c r="K56" s="449"/>
      <c r="L56" s="450"/>
      <c r="M56" s="434"/>
      <c r="N56" s="452"/>
      <c r="O56" s="452"/>
      <c r="P56" s="452"/>
      <c r="Q56" s="452"/>
      <c r="R56" s="452"/>
      <c r="S56" s="452"/>
      <c r="U56" s="56"/>
    </row>
    <row r="57" customFormat="false" ht="27.95" hidden="false" customHeight="true" outlineLevel="0" collapsed="false">
      <c r="B57" s="56"/>
      <c r="D57" s="87"/>
      <c r="E57" s="88"/>
      <c r="F57" s="28"/>
      <c r="G57" s="447"/>
      <c r="H57" s="448"/>
      <c r="I57" s="85" t="s">
        <v>267</v>
      </c>
      <c r="J57" s="85"/>
      <c r="K57" s="449"/>
      <c r="L57" s="450"/>
      <c r="M57" s="434"/>
      <c r="N57" s="452"/>
      <c r="O57" s="452"/>
      <c r="P57" s="452"/>
      <c r="Q57" s="452"/>
      <c r="R57" s="452"/>
      <c r="S57" s="452"/>
      <c r="U57" s="56"/>
    </row>
    <row r="58" customFormat="false" ht="27.95" hidden="false" customHeight="true" outlineLevel="0" collapsed="false">
      <c r="B58" s="56"/>
      <c r="D58" s="87"/>
      <c r="E58" s="88"/>
      <c r="F58" s="28"/>
      <c r="G58" s="447"/>
      <c r="H58" s="448"/>
      <c r="I58" s="85" t="s">
        <v>268</v>
      </c>
      <c r="J58" s="85"/>
      <c r="K58" s="449"/>
      <c r="L58" s="450"/>
      <c r="M58" s="434"/>
      <c r="N58" s="455"/>
      <c r="O58" s="455"/>
      <c r="P58" s="455"/>
      <c r="Q58" s="455"/>
      <c r="R58" s="455"/>
      <c r="S58" s="455"/>
      <c r="U58" s="56"/>
    </row>
    <row r="59" customFormat="false" ht="15" hidden="false" customHeight="true" outlineLevel="0" collapsed="false">
      <c r="B59" s="56"/>
      <c r="D59" s="120" t="s">
        <v>15</v>
      </c>
      <c r="E59" s="29" t="s">
        <v>16</v>
      </c>
      <c r="F59" s="26" t="n">
        <v>3</v>
      </c>
      <c r="G59" s="401" t="s">
        <v>58</v>
      </c>
      <c r="H59" s="456" t="s">
        <v>386</v>
      </c>
      <c r="I59" s="91" t="s">
        <v>387</v>
      </c>
      <c r="J59" s="91"/>
      <c r="K59" s="457" t="s">
        <v>238</v>
      </c>
      <c r="L59" s="458" t="s">
        <v>62</v>
      </c>
      <c r="M59" s="459" t="s">
        <v>62</v>
      </c>
      <c r="N59" s="460" t="s">
        <v>62</v>
      </c>
      <c r="O59" s="460"/>
      <c r="P59" s="460"/>
      <c r="Q59" s="460"/>
      <c r="R59" s="460"/>
      <c r="S59" s="460"/>
      <c r="U59" s="56"/>
    </row>
    <row r="60" customFormat="false" ht="15" hidden="false" customHeight="true" outlineLevel="0" collapsed="false">
      <c r="B60" s="56"/>
      <c r="D60" s="120"/>
      <c r="E60" s="29"/>
      <c r="F60" s="26"/>
      <c r="G60" s="401"/>
      <c r="H60" s="456"/>
      <c r="I60" s="96" t="s">
        <v>388</v>
      </c>
      <c r="J60" s="96"/>
      <c r="K60" s="457"/>
      <c r="L60" s="458"/>
      <c r="M60" s="459"/>
      <c r="N60" s="460"/>
      <c r="O60" s="460"/>
      <c r="P60" s="460"/>
      <c r="Q60" s="460"/>
      <c r="R60" s="460"/>
      <c r="S60" s="460"/>
      <c r="U60" s="56"/>
    </row>
    <row r="61" customFormat="false" ht="15" hidden="false" customHeight="true" outlineLevel="0" collapsed="false">
      <c r="B61" s="56"/>
      <c r="D61" s="120"/>
      <c r="E61" s="29"/>
      <c r="F61" s="26"/>
      <c r="G61" s="401"/>
      <c r="H61" s="456"/>
      <c r="I61" s="96" t="s">
        <v>389</v>
      </c>
      <c r="J61" s="96"/>
      <c r="K61" s="457"/>
      <c r="L61" s="458"/>
      <c r="M61" s="459"/>
      <c r="N61" s="460"/>
      <c r="O61" s="460"/>
      <c r="P61" s="460"/>
      <c r="Q61" s="460"/>
      <c r="R61" s="460"/>
      <c r="S61" s="460"/>
      <c r="U61" s="56"/>
    </row>
    <row r="62" customFormat="false" ht="15" hidden="false" customHeight="true" outlineLevel="0" collapsed="false">
      <c r="B62" s="56"/>
      <c r="D62" s="97" t="s">
        <v>11</v>
      </c>
      <c r="E62" s="39" t="s">
        <v>12</v>
      </c>
      <c r="F62" s="44" t="n">
        <v>4</v>
      </c>
      <c r="G62" s="99" t="s">
        <v>110</v>
      </c>
      <c r="H62" s="301" t="s">
        <v>161</v>
      </c>
      <c r="I62" s="101" t="s">
        <v>173</v>
      </c>
      <c r="J62" s="101"/>
      <c r="K62" s="461" t="s">
        <v>238</v>
      </c>
      <c r="L62" s="462" t="s">
        <v>62</v>
      </c>
      <c r="M62" s="404" t="s">
        <v>62</v>
      </c>
      <c r="N62" s="463" t="s">
        <v>62</v>
      </c>
      <c r="O62" s="463"/>
      <c r="P62" s="463"/>
      <c r="Q62" s="463"/>
      <c r="R62" s="463"/>
      <c r="S62" s="463"/>
      <c r="U62" s="56"/>
    </row>
    <row r="63" customFormat="false" ht="15" hidden="false" customHeight="true" outlineLevel="0" collapsed="false">
      <c r="B63" s="56"/>
      <c r="D63" s="97"/>
      <c r="E63" s="39"/>
      <c r="F63" s="44"/>
      <c r="G63" s="99"/>
      <c r="H63" s="301"/>
      <c r="I63" s="103" t="s">
        <v>174</v>
      </c>
      <c r="J63" s="103"/>
      <c r="K63" s="461"/>
      <c r="L63" s="462"/>
      <c r="M63" s="404"/>
      <c r="N63" s="463"/>
      <c r="O63" s="463"/>
      <c r="P63" s="463"/>
      <c r="Q63" s="463"/>
      <c r="R63" s="463"/>
      <c r="S63" s="463"/>
      <c r="U63" s="56"/>
    </row>
    <row r="64" customFormat="false" ht="15" hidden="false" customHeight="true" outlineLevel="0" collapsed="false">
      <c r="B64" s="56"/>
      <c r="D64" s="97"/>
      <c r="E64" s="39"/>
      <c r="F64" s="44"/>
      <c r="G64" s="99"/>
      <c r="H64" s="301"/>
      <c r="I64" s="103" t="s">
        <v>175</v>
      </c>
      <c r="J64" s="103"/>
      <c r="K64" s="461"/>
      <c r="L64" s="462"/>
      <c r="M64" s="404"/>
      <c r="N64" s="463"/>
      <c r="O64" s="463"/>
      <c r="P64" s="463"/>
      <c r="Q64" s="463"/>
      <c r="R64" s="463"/>
      <c r="S64" s="463"/>
      <c r="U64" s="56"/>
    </row>
    <row r="65" customFormat="false" ht="15.75" hidden="false" customHeight="true" outlineLevel="0" collapsed="false">
      <c r="B65" s="56"/>
      <c r="D65" s="97"/>
      <c r="E65" s="39"/>
      <c r="F65" s="44"/>
      <c r="G65" s="99"/>
      <c r="H65" s="301"/>
      <c r="I65" s="464" t="s">
        <v>176</v>
      </c>
      <c r="J65" s="464"/>
      <c r="K65" s="461"/>
      <c r="L65" s="462"/>
      <c r="M65" s="404"/>
      <c r="N65" s="463"/>
      <c r="O65" s="463"/>
      <c r="P65" s="463"/>
      <c r="Q65" s="463"/>
      <c r="R65" s="463"/>
      <c r="S65" s="463"/>
      <c r="U65" s="56"/>
    </row>
    <row r="66" customFormat="false" ht="20.1" hidden="false" customHeight="true" outlineLevel="0" collapsed="false">
      <c r="B66" s="56"/>
      <c r="U66" s="56"/>
    </row>
    <row r="67" customFormat="false" ht="20.1" hidden="false" customHeight="true" outlineLevel="0" collapsed="false">
      <c r="B67" s="56"/>
      <c r="C67" s="106"/>
      <c r="D67" s="106"/>
      <c r="E67" s="107" t="str">
        <f aca="false">IF(OR(M28="-",M28= ""),H28,M28)</f>
        <v>Die verlorenen Ruinen von Arnak</v>
      </c>
      <c r="F67" s="107"/>
      <c r="G67" s="107"/>
      <c r="H67" s="107"/>
      <c r="I67" s="107"/>
      <c r="J67" s="107"/>
      <c r="K67" s="107"/>
      <c r="L67" s="107"/>
      <c r="M67" s="107"/>
      <c r="N67" s="107"/>
      <c r="O67" s="108"/>
      <c r="P67" s="108"/>
      <c r="Q67" s="108"/>
      <c r="R67" s="108"/>
      <c r="S67" s="108"/>
      <c r="T67" s="106"/>
      <c r="U67" s="56"/>
    </row>
    <row r="68" customFormat="false" ht="50.1" hidden="false" customHeight="true" outlineLevel="0" collapsed="false">
      <c r="B68" s="56"/>
      <c r="C68" s="106"/>
      <c r="D68" s="108"/>
      <c r="E68" s="59" t="s">
        <v>48</v>
      </c>
      <c r="F68" s="109" t="s">
        <v>80</v>
      </c>
      <c r="G68" s="61" t="s">
        <v>81</v>
      </c>
      <c r="H68" s="60" t="s">
        <v>82</v>
      </c>
      <c r="I68" s="6" t="s">
        <v>83</v>
      </c>
      <c r="J68" s="60" t="s">
        <v>84</v>
      </c>
      <c r="K68" s="110" t="s">
        <v>85</v>
      </c>
      <c r="L68" s="60" t="s">
        <v>86</v>
      </c>
      <c r="M68" s="111" t="s">
        <v>87</v>
      </c>
      <c r="N68" s="61" t="s">
        <v>88</v>
      </c>
      <c r="O68" s="112" t="s">
        <v>89</v>
      </c>
      <c r="P68" s="113" t="s">
        <v>90</v>
      </c>
      <c r="Q68" s="113" t="s">
        <v>91</v>
      </c>
      <c r="R68" s="113" t="s">
        <v>92</v>
      </c>
      <c r="S68" s="108"/>
      <c r="T68" s="106"/>
      <c r="U68" s="56"/>
    </row>
    <row r="69" customFormat="false" ht="20.1" hidden="false" customHeight="true" outlineLevel="0" collapsed="false">
      <c r="B69" s="56"/>
      <c r="C69" s="106"/>
      <c r="D69" s="106"/>
      <c r="E69" s="67" t="s">
        <v>17</v>
      </c>
      <c r="F69" s="14" t="s">
        <v>18</v>
      </c>
      <c r="G69" s="258" t="n">
        <v>1</v>
      </c>
      <c r="H69" s="258" t="s">
        <v>62</v>
      </c>
      <c r="I69" s="258" t="n">
        <v>0</v>
      </c>
      <c r="J69" s="258" t="n">
        <v>50</v>
      </c>
      <c r="K69" s="258" t="s">
        <v>62</v>
      </c>
      <c r="L69" s="259" t="n">
        <f aca="false">IF(J69="",0,(J69/J73)*100)</f>
        <v>56.1797752808989</v>
      </c>
      <c r="M69" s="258" t="n">
        <v>4</v>
      </c>
      <c r="N69" s="260" t="n">
        <v>0</v>
      </c>
      <c r="O69" s="116" t="n">
        <f aca="false">IF(M69=1,1,0)</f>
        <v>0</v>
      </c>
      <c r="P69" s="117" t="n">
        <f aca="false">IF(M69=2,1,0)</f>
        <v>0</v>
      </c>
      <c r="Q69" s="117" t="n">
        <f aca="false">IF(M69=3,1,0)</f>
        <v>0</v>
      </c>
      <c r="R69" s="118" t="n">
        <f aca="false">IF(M69=4,1,0)</f>
        <v>1</v>
      </c>
      <c r="S69" s="119"/>
      <c r="T69" s="106"/>
      <c r="U69" s="56"/>
    </row>
    <row r="70" customFormat="false" ht="20.1" hidden="false" customHeight="true" outlineLevel="0" collapsed="false">
      <c r="B70" s="56"/>
      <c r="C70" s="106"/>
      <c r="D70" s="106"/>
      <c r="E70" s="77" t="s">
        <v>20</v>
      </c>
      <c r="F70" s="29" t="s">
        <v>21</v>
      </c>
      <c r="G70" s="248" t="n">
        <v>3</v>
      </c>
      <c r="H70" s="248" t="s">
        <v>62</v>
      </c>
      <c r="I70" s="248" t="n">
        <v>0</v>
      </c>
      <c r="J70" s="248" t="n">
        <v>52</v>
      </c>
      <c r="K70" s="248" t="s">
        <v>62</v>
      </c>
      <c r="L70" s="250" t="n">
        <f aca="false">IF(J70="",0,(J70/J73)*100)</f>
        <v>58.4269662921348</v>
      </c>
      <c r="M70" s="248" t="n">
        <v>3</v>
      </c>
      <c r="N70" s="251" t="n">
        <v>1</v>
      </c>
      <c r="O70" s="123" t="n">
        <f aca="false">IF(M70=1,1,0)</f>
        <v>0</v>
      </c>
      <c r="P70" s="124" t="n">
        <f aca="false">IF(M70=2,1,0)</f>
        <v>0</v>
      </c>
      <c r="Q70" s="124" t="n">
        <f aca="false">IF(M70=3,1,0)</f>
        <v>1</v>
      </c>
      <c r="R70" s="125" t="n">
        <f aca="false">IF(M70=4,1,0)</f>
        <v>0</v>
      </c>
      <c r="S70" s="119"/>
      <c r="T70" s="106"/>
      <c r="U70" s="56"/>
    </row>
    <row r="71" customFormat="false" ht="20.1" hidden="false" customHeight="true" outlineLevel="0" collapsed="false">
      <c r="B71" s="56"/>
      <c r="C71" s="106"/>
      <c r="D71" s="106"/>
      <c r="E71" s="126" t="s">
        <v>15</v>
      </c>
      <c r="F71" s="127" t="s">
        <v>16</v>
      </c>
      <c r="G71" s="128" t="n">
        <v>4</v>
      </c>
      <c r="H71" s="128" t="s">
        <v>62</v>
      </c>
      <c r="I71" s="128" t="n">
        <v>0</v>
      </c>
      <c r="J71" s="128" t="n">
        <v>89</v>
      </c>
      <c r="K71" s="128" t="s">
        <v>62</v>
      </c>
      <c r="L71" s="129" t="n">
        <f aca="false">IF(J71="",0,(J71/J73)*100)</f>
        <v>100</v>
      </c>
      <c r="M71" s="128" t="n">
        <v>1</v>
      </c>
      <c r="N71" s="130" t="n">
        <v>6</v>
      </c>
      <c r="O71" s="123" t="n">
        <f aca="false">IF(M71=1,1,0)</f>
        <v>1</v>
      </c>
      <c r="P71" s="124" t="n">
        <f aca="false">IF(M71=2,1,0)</f>
        <v>0</v>
      </c>
      <c r="Q71" s="124" t="n">
        <f aca="false">IF(M71=3,1,0)</f>
        <v>0</v>
      </c>
      <c r="R71" s="125" t="n">
        <f aca="false">IF(M71=4,1,0)</f>
        <v>0</v>
      </c>
      <c r="S71" s="119"/>
      <c r="T71" s="106"/>
      <c r="U71" s="56"/>
    </row>
    <row r="72" customFormat="false" ht="20.1" hidden="false" customHeight="true" outlineLevel="0" collapsed="false">
      <c r="B72" s="56"/>
      <c r="C72" s="106"/>
      <c r="D72" s="131"/>
      <c r="E72" s="236" t="s">
        <v>11</v>
      </c>
      <c r="F72" s="39" t="s">
        <v>12</v>
      </c>
      <c r="G72" s="253" t="n">
        <v>2</v>
      </c>
      <c r="H72" s="253" t="s">
        <v>62</v>
      </c>
      <c r="I72" s="253" t="n">
        <v>0</v>
      </c>
      <c r="J72" s="253" t="n">
        <v>74</v>
      </c>
      <c r="K72" s="253" t="s">
        <v>62</v>
      </c>
      <c r="L72" s="255" t="n">
        <f aca="false">IF(J72="",0,(J72/J73)*100)</f>
        <v>83.1460674157303</v>
      </c>
      <c r="M72" s="253" t="n">
        <v>2</v>
      </c>
      <c r="N72" s="256" t="n">
        <v>3</v>
      </c>
      <c r="O72" s="135" t="n">
        <f aca="false">IF(M72=1,1,0)</f>
        <v>0</v>
      </c>
      <c r="P72" s="136" t="n">
        <f aca="false">IF(M72=2,1,0)</f>
        <v>1</v>
      </c>
      <c r="Q72" s="136" t="n">
        <f aca="false">IF(M72=3,1,0)</f>
        <v>0</v>
      </c>
      <c r="R72" s="137" t="n">
        <f aca="false">IF(M72=4,1,0)</f>
        <v>0</v>
      </c>
      <c r="S72" s="119"/>
      <c r="T72" s="106"/>
      <c r="U72" s="56"/>
    </row>
    <row r="73" customFormat="false" ht="20.1" hidden="true" customHeight="true" outlineLevel="1" collapsed="false">
      <c r="B73" s="56"/>
      <c r="C73" s="106"/>
      <c r="D73" s="138"/>
      <c r="E73" s="138"/>
      <c r="F73" s="139"/>
      <c r="G73" s="139"/>
      <c r="H73" s="106"/>
      <c r="I73" s="140" t="s">
        <v>94</v>
      </c>
      <c r="J73" s="141" t="n">
        <f aca="false">MAX(J69:J72)</f>
        <v>89</v>
      </c>
      <c r="K73" s="142"/>
      <c r="L73" s="143"/>
      <c r="M73" s="106"/>
      <c r="N73" s="144" t="s">
        <v>95</v>
      </c>
      <c r="O73" s="145" t="n">
        <f aca="false">SUM(O69:O72)</f>
        <v>1</v>
      </c>
      <c r="P73" s="146" t="n">
        <f aca="false">SUM(P69:P72)</f>
        <v>1</v>
      </c>
      <c r="Q73" s="145" t="n">
        <f aca="false">SUM(Q69:Q72)</f>
        <v>1</v>
      </c>
      <c r="R73" s="145" t="n">
        <f aca="false">SUM(R69:R72)</f>
        <v>1</v>
      </c>
      <c r="S73" s="147"/>
      <c r="T73" s="106"/>
      <c r="U73" s="56"/>
    </row>
    <row r="74" customFormat="false" ht="20.1" hidden="false" customHeight="true" outlineLevel="0" collapsed="false">
      <c r="B74" s="56"/>
      <c r="C74" s="106"/>
      <c r="D74" s="106"/>
      <c r="E74" s="106"/>
      <c r="F74" s="148"/>
      <c r="G74" s="148"/>
      <c r="H74" s="108"/>
      <c r="I74" s="106"/>
      <c r="J74" s="106"/>
      <c r="K74" s="106"/>
      <c r="L74" s="106"/>
      <c r="M74" s="106"/>
      <c r="N74" s="106"/>
      <c r="O74" s="106"/>
      <c r="P74" s="106"/>
      <c r="Q74" s="106"/>
      <c r="R74" s="106"/>
      <c r="S74" s="106"/>
      <c r="T74" s="106"/>
      <c r="U74" s="56"/>
    </row>
    <row r="75" customFormat="false" ht="20.1" hidden="false" customHeight="true" outlineLevel="0" collapsed="false">
      <c r="B75" s="56"/>
      <c r="U75" s="56"/>
    </row>
    <row r="76" customFormat="false" ht="20.1" hidden="false" customHeight="true" outlineLevel="0" collapsed="false">
      <c r="B76" s="56"/>
      <c r="C76" s="149"/>
      <c r="D76" s="149"/>
      <c r="E76" s="150" t="str">
        <f aca="false">IF(OR(M29="-",M29= ""),H29,M29)</f>
        <v>Res Arcana</v>
      </c>
      <c r="F76" s="150"/>
      <c r="G76" s="150"/>
      <c r="H76" s="150"/>
      <c r="I76" s="150"/>
      <c r="J76" s="150"/>
      <c r="K76" s="150"/>
      <c r="L76" s="150"/>
      <c r="M76" s="150"/>
      <c r="N76" s="150"/>
      <c r="O76" s="151"/>
      <c r="P76" s="151"/>
      <c r="Q76" s="151"/>
      <c r="R76" s="151"/>
      <c r="S76" s="151"/>
      <c r="T76" s="149"/>
      <c r="U76" s="56"/>
    </row>
    <row r="77" customFormat="false" ht="50.1" hidden="false" customHeight="true" outlineLevel="0" collapsed="false">
      <c r="B77" s="56"/>
      <c r="C77" s="149"/>
      <c r="D77" s="151"/>
      <c r="E77" s="59" t="s">
        <v>48</v>
      </c>
      <c r="F77" s="109" t="s">
        <v>80</v>
      </c>
      <c r="G77" s="61" t="s">
        <v>81</v>
      </c>
      <c r="H77" s="60" t="s">
        <v>82</v>
      </c>
      <c r="I77" s="6" t="s">
        <v>83</v>
      </c>
      <c r="J77" s="60" t="s">
        <v>84</v>
      </c>
      <c r="K77" s="110" t="s">
        <v>85</v>
      </c>
      <c r="L77" s="60" t="s">
        <v>86</v>
      </c>
      <c r="M77" s="111" t="s">
        <v>87</v>
      </c>
      <c r="N77" s="61" t="s">
        <v>88</v>
      </c>
      <c r="O77" s="112" t="s">
        <v>89</v>
      </c>
      <c r="P77" s="113" t="s">
        <v>90</v>
      </c>
      <c r="Q77" s="113" t="s">
        <v>91</v>
      </c>
      <c r="R77" s="113" t="s">
        <v>92</v>
      </c>
      <c r="S77" s="151"/>
      <c r="T77" s="149"/>
      <c r="U77" s="56"/>
    </row>
    <row r="78" customFormat="false" ht="20.1" hidden="false" customHeight="true" outlineLevel="0" collapsed="false">
      <c r="B78" s="56"/>
      <c r="C78" s="149"/>
      <c r="D78" s="149"/>
      <c r="E78" s="67" t="s">
        <v>17</v>
      </c>
      <c r="F78" s="14" t="s">
        <v>18</v>
      </c>
      <c r="G78" s="258" t="n">
        <v>3</v>
      </c>
      <c r="H78" s="258" t="s">
        <v>199</v>
      </c>
      <c r="I78" s="258" t="n">
        <v>0</v>
      </c>
      <c r="J78" s="258" t="n">
        <v>7</v>
      </c>
      <c r="K78" s="258" t="s">
        <v>62</v>
      </c>
      <c r="L78" s="259" t="n">
        <f aca="false">IF(J78="",0,(J78/J82)*100)</f>
        <v>63.6363636363636</v>
      </c>
      <c r="M78" s="258" t="n">
        <v>4</v>
      </c>
      <c r="N78" s="260" t="n">
        <v>0</v>
      </c>
      <c r="O78" s="116" t="n">
        <f aca="false">IF(M78=1,1,0)</f>
        <v>0</v>
      </c>
      <c r="P78" s="117" t="n">
        <f aca="false">IF(M78=2,1,0)</f>
        <v>0</v>
      </c>
      <c r="Q78" s="117" t="n">
        <f aca="false">IF(M78=3,1,0)</f>
        <v>0</v>
      </c>
      <c r="R78" s="118" t="n">
        <f aca="false">IF(M78=4,1,0)</f>
        <v>1</v>
      </c>
      <c r="S78" s="152"/>
      <c r="T78" s="149"/>
      <c r="U78" s="56"/>
    </row>
    <row r="79" customFormat="false" ht="45" hidden="false" customHeight="true" outlineLevel="0" collapsed="false">
      <c r="B79" s="56"/>
      <c r="C79" s="149"/>
      <c r="D79" s="153"/>
      <c r="E79" s="77" t="s">
        <v>20</v>
      </c>
      <c r="F79" s="29" t="s">
        <v>21</v>
      </c>
      <c r="G79" s="248" t="n">
        <v>2</v>
      </c>
      <c r="H79" s="248" t="s">
        <v>390</v>
      </c>
      <c r="I79" s="248" t="n">
        <v>0</v>
      </c>
      <c r="J79" s="248" t="n">
        <v>11</v>
      </c>
      <c r="K79" s="249" t="s">
        <v>391</v>
      </c>
      <c r="L79" s="250" t="n">
        <f aca="false">IF(J79="",0,(J79/J82)*100)</f>
        <v>100</v>
      </c>
      <c r="M79" s="248" t="n">
        <v>2</v>
      </c>
      <c r="N79" s="251" t="n">
        <v>3</v>
      </c>
      <c r="O79" s="123" t="n">
        <f aca="false">IF(M79=1,1,0)</f>
        <v>0</v>
      </c>
      <c r="P79" s="124" t="n">
        <f aca="false">IF(M79=2,1,0)</f>
        <v>1</v>
      </c>
      <c r="Q79" s="124" t="n">
        <f aca="false">IF(M79=3,1,0)</f>
        <v>0</v>
      </c>
      <c r="R79" s="125" t="n">
        <f aca="false">IF(M79=4,1,0)</f>
        <v>0</v>
      </c>
      <c r="S79" s="152"/>
      <c r="T79" s="149"/>
      <c r="U79" s="56"/>
    </row>
    <row r="80" customFormat="false" ht="20.1" hidden="false" customHeight="true" outlineLevel="0" collapsed="false">
      <c r="B80" s="56"/>
      <c r="C80" s="149"/>
      <c r="D80" s="149"/>
      <c r="E80" s="77" t="s">
        <v>15</v>
      </c>
      <c r="F80" s="29" t="s">
        <v>16</v>
      </c>
      <c r="G80" s="248" t="n">
        <v>4</v>
      </c>
      <c r="H80" s="248" t="s">
        <v>288</v>
      </c>
      <c r="I80" s="248" t="n">
        <v>0</v>
      </c>
      <c r="J80" s="248" t="n">
        <v>8</v>
      </c>
      <c r="K80" s="248" t="s">
        <v>62</v>
      </c>
      <c r="L80" s="250" t="n">
        <f aca="false">IF(J80="",0,(J80/J82)*100)</f>
        <v>72.7272727272727</v>
      </c>
      <c r="M80" s="248" t="n">
        <v>3</v>
      </c>
      <c r="N80" s="251" t="n">
        <v>1</v>
      </c>
      <c r="O80" s="123" t="n">
        <f aca="false">IF(M80=1,1,0)</f>
        <v>0</v>
      </c>
      <c r="P80" s="124" t="n">
        <f aca="false">IF(M80=2,1,0)</f>
        <v>0</v>
      </c>
      <c r="Q80" s="124" t="n">
        <f aca="false">IF(M80=3,1,0)</f>
        <v>1</v>
      </c>
      <c r="R80" s="125" t="n">
        <f aca="false">IF(M80=4,1,0)</f>
        <v>0</v>
      </c>
      <c r="S80" s="152"/>
      <c r="T80" s="149"/>
      <c r="U80" s="56"/>
    </row>
    <row r="81" customFormat="false" ht="45" hidden="false" customHeight="true" outlineLevel="0" collapsed="false">
      <c r="B81" s="56"/>
      <c r="C81" s="149"/>
      <c r="D81" s="149"/>
      <c r="E81" s="340" t="s">
        <v>11</v>
      </c>
      <c r="F81" s="262" t="s">
        <v>12</v>
      </c>
      <c r="G81" s="263" t="n">
        <v>1</v>
      </c>
      <c r="H81" s="263" t="s">
        <v>287</v>
      </c>
      <c r="I81" s="263" t="n">
        <v>0</v>
      </c>
      <c r="J81" s="263" t="n">
        <v>11</v>
      </c>
      <c r="K81" s="264" t="s">
        <v>392</v>
      </c>
      <c r="L81" s="265" t="n">
        <f aca="false">IF(J81="",0,(J81/J82)*100)</f>
        <v>100</v>
      </c>
      <c r="M81" s="263" t="n">
        <v>1</v>
      </c>
      <c r="N81" s="266" t="n">
        <v>6</v>
      </c>
      <c r="O81" s="135" t="n">
        <f aca="false">IF(M81=1,1,0)</f>
        <v>1</v>
      </c>
      <c r="P81" s="136" t="n">
        <f aca="false">IF(M81=2,1,0)</f>
        <v>0</v>
      </c>
      <c r="Q81" s="136" t="n">
        <f aca="false">IF(M81=3,1,0)</f>
        <v>0</v>
      </c>
      <c r="R81" s="137" t="n">
        <f aca="false">IF(M81=4,1,0)</f>
        <v>0</v>
      </c>
      <c r="S81" s="152"/>
      <c r="T81" s="149"/>
      <c r="U81" s="56"/>
    </row>
    <row r="82" customFormat="false" ht="20.1" hidden="true" customHeight="true" outlineLevel="1" collapsed="false">
      <c r="B82" s="56"/>
      <c r="C82" s="149"/>
      <c r="D82" s="149"/>
      <c r="E82" s="149"/>
      <c r="F82" s="155"/>
      <c r="G82" s="155"/>
      <c r="H82" s="149"/>
      <c r="I82" s="156" t="s">
        <v>94</v>
      </c>
      <c r="J82" s="141" t="n">
        <f aca="false">MAX(J78:J81)</f>
        <v>11</v>
      </c>
      <c r="K82" s="157"/>
      <c r="L82" s="152"/>
      <c r="M82" s="149"/>
      <c r="N82" s="144" t="s">
        <v>95</v>
      </c>
      <c r="O82" s="145" t="n">
        <f aca="false">SUM(O78:O81)</f>
        <v>1</v>
      </c>
      <c r="P82" s="146" t="n">
        <f aca="false">SUM(P78:P81)</f>
        <v>1</v>
      </c>
      <c r="Q82" s="145" t="n">
        <f aca="false">SUM(Q78:Q81)</f>
        <v>1</v>
      </c>
      <c r="R82" s="158" t="n">
        <f aca="false">SUM(R78:R81)</f>
        <v>1</v>
      </c>
      <c r="S82" s="159"/>
      <c r="T82" s="149"/>
      <c r="U82" s="56"/>
    </row>
    <row r="83" customFormat="false" ht="20.1" hidden="false" customHeight="true" outlineLevel="0" collapsed="false">
      <c r="B83" s="56"/>
      <c r="C83" s="149"/>
      <c r="D83" s="149"/>
      <c r="E83" s="149"/>
      <c r="F83" s="149"/>
      <c r="G83" s="149"/>
      <c r="H83" s="149"/>
      <c r="I83" s="149"/>
      <c r="J83" s="149"/>
      <c r="K83" s="149"/>
      <c r="L83" s="149"/>
      <c r="M83" s="149"/>
      <c r="N83" s="149"/>
      <c r="O83" s="149"/>
      <c r="P83" s="149"/>
      <c r="Q83" s="149"/>
      <c r="R83" s="149"/>
      <c r="S83" s="149"/>
      <c r="T83" s="149"/>
      <c r="U83" s="56"/>
    </row>
    <row r="84" customFormat="false" ht="20.1" hidden="false" customHeight="true" outlineLevel="0" collapsed="false">
      <c r="B84" s="56"/>
      <c r="D84" s="45"/>
      <c r="E84" s="45"/>
      <c r="F84" s="45"/>
      <c r="G84" s="45"/>
      <c r="H84" s="160"/>
      <c r="I84" s="45"/>
      <c r="J84" s="45"/>
      <c r="U84" s="56"/>
    </row>
    <row r="85" customFormat="false" ht="20.1" hidden="false" customHeight="true" outlineLevel="0" collapsed="false">
      <c r="B85" s="56"/>
      <c r="C85" s="161"/>
      <c r="D85" s="161"/>
      <c r="E85" s="162" t="str">
        <f aca="false">IF(OR(M59="-",M59= ""),H59,M59)</f>
        <v>Welcome to…</v>
      </c>
      <c r="F85" s="162"/>
      <c r="G85" s="162"/>
      <c r="H85" s="162"/>
      <c r="I85" s="162"/>
      <c r="J85" s="162"/>
      <c r="K85" s="162"/>
      <c r="L85" s="162"/>
      <c r="M85" s="162"/>
      <c r="N85" s="162"/>
      <c r="O85" s="163"/>
      <c r="P85" s="163"/>
      <c r="Q85" s="163"/>
      <c r="R85" s="163"/>
      <c r="S85" s="163"/>
      <c r="T85" s="161"/>
      <c r="U85" s="164"/>
      <c r="V85" s="165"/>
      <c r="W85" s="165"/>
    </row>
    <row r="86" customFormat="false" ht="50.1" hidden="false" customHeight="true" outlineLevel="0" collapsed="false">
      <c r="B86" s="56"/>
      <c r="C86" s="161"/>
      <c r="D86" s="163"/>
      <c r="E86" s="59" t="s">
        <v>48</v>
      </c>
      <c r="F86" s="109" t="s">
        <v>80</v>
      </c>
      <c r="G86" s="61" t="s">
        <v>81</v>
      </c>
      <c r="H86" s="60" t="s">
        <v>82</v>
      </c>
      <c r="I86" s="6" t="s">
        <v>83</v>
      </c>
      <c r="J86" s="60" t="s">
        <v>84</v>
      </c>
      <c r="K86" s="110" t="s">
        <v>85</v>
      </c>
      <c r="L86" s="60" t="s">
        <v>86</v>
      </c>
      <c r="M86" s="111" t="s">
        <v>87</v>
      </c>
      <c r="N86" s="61" t="s">
        <v>88</v>
      </c>
      <c r="O86" s="112" t="s">
        <v>89</v>
      </c>
      <c r="P86" s="113" t="s">
        <v>90</v>
      </c>
      <c r="Q86" s="113" t="s">
        <v>91</v>
      </c>
      <c r="R86" s="12" t="s">
        <v>92</v>
      </c>
      <c r="S86" s="163"/>
      <c r="T86" s="161"/>
      <c r="U86" s="164"/>
      <c r="V86" s="165"/>
      <c r="W86" s="165"/>
    </row>
    <row r="87" customFormat="false" ht="20.1" hidden="false" customHeight="true" outlineLevel="0" collapsed="false">
      <c r="B87" s="56"/>
      <c r="C87" s="161"/>
      <c r="D87" s="161"/>
      <c r="E87" s="67" t="s">
        <v>17</v>
      </c>
      <c r="F87" s="14" t="s">
        <v>18</v>
      </c>
      <c r="G87" s="258" t="s">
        <v>62</v>
      </c>
      <c r="H87" s="258" t="s">
        <v>62</v>
      </c>
      <c r="I87" s="258" t="n">
        <v>0</v>
      </c>
      <c r="J87" s="258" t="n">
        <v>95</v>
      </c>
      <c r="K87" s="258" t="s">
        <v>62</v>
      </c>
      <c r="L87" s="259" t="n">
        <f aca="false">IF(J87="",0,(J87/J91)*100)</f>
        <v>84.070796460177</v>
      </c>
      <c r="M87" s="258" t="n">
        <v>3</v>
      </c>
      <c r="N87" s="260" t="n">
        <v>1</v>
      </c>
      <c r="O87" s="116" t="n">
        <f aca="false">IF(M87=1,1,0)</f>
        <v>0</v>
      </c>
      <c r="P87" s="117" t="n">
        <f aca="false">IF(M87=2,1,0)</f>
        <v>0</v>
      </c>
      <c r="Q87" s="117" t="n">
        <f aca="false">IF(M87=3,1,0)</f>
        <v>1</v>
      </c>
      <c r="R87" s="118" t="n">
        <f aca="false">IF(M87=4,1,0)</f>
        <v>0</v>
      </c>
      <c r="S87" s="166"/>
      <c r="T87" s="161"/>
      <c r="U87" s="56"/>
    </row>
    <row r="88" customFormat="false" ht="20.1" hidden="false" customHeight="true" outlineLevel="0" collapsed="false">
      <c r="B88" s="56"/>
      <c r="C88" s="161"/>
      <c r="D88" s="167"/>
      <c r="E88" s="77" t="s">
        <v>20</v>
      </c>
      <c r="F88" s="29" t="s">
        <v>21</v>
      </c>
      <c r="G88" s="248" t="s">
        <v>62</v>
      </c>
      <c r="H88" s="248" t="s">
        <v>62</v>
      </c>
      <c r="I88" s="248" t="n">
        <v>0</v>
      </c>
      <c r="J88" s="248" t="n">
        <v>84</v>
      </c>
      <c r="K88" s="248" t="s">
        <v>62</v>
      </c>
      <c r="L88" s="250" t="n">
        <f aca="false">IF(J88="",0,(J88/J91)*100)</f>
        <v>74.3362831858407</v>
      </c>
      <c r="M88" s="248" t="n">
        <v>4</v>
      </c>
      <c r="N88" s="251" t="n">
        <v>0</v>
      </c>
      <c r="O88" s="123" t="n">
        <f aca="false">IF(M88=1,1,0)</f>
        <v>0</v>
      </c>
      <c r="P88" s="124" t="n">
        <f aca="false">IF(M88=2,1,0)</f>
        <v>0</v>
      </c>
      <c r="Q88" s="124" t="n">
        <f aca="false">IF(M88=3,1,0)</f>
        <v>0</v>
      </c>
      <c r="R88" s="125" t="n">
        <f aca="false">IF(M88=4,1,0)</f>
        <v>1</v>
      </c>
      <c r="S88" s="166"/>
      <c r="T88" s="161"/>
      <c r="U88" s="168"/>
    </row>
    <row r="89" customFormat="false" ht="20.1" hidden="false" customHeight="true" outlineLevel="0" collapsed="false">
      <c r="B89" s="56"/>
      <c r="C89" s="161"/>
      <c r="D89" s="161"/>
      <c r="E89" s="126" t="s">
        <v>15</v>
      </c>
      <c r="F89" s="127" t="s">
        <v>16</v>
      </c>
      <c r="G89" s="128" t="s">
        <v>62</v>
      </c>
      <c r="H89" s="128" t="s">
        <v>62</v>
      </c>
      <c r="I89" s="128" t="n">
        <v>0</v>
      </c>
      <c r="J89" s="128" t="n">
        <v>113</v>
      </c>
      <c r="K89" s="128" t="s">
        <v>62</v>
      </c>
      <c r="L89" s="129" t="n">
        <f aca="false">IF(J89="",0,(J89/J91)*100)</f>
        <v>100</v>
      </c>
      <c r="M89" s="128" t="n">
        <v>1</v>
      </c>
      <c r="N89" s="130" t="n">
        <v>6</v>
      </c>
      <c r="O89" s="123" t="n">
        <f aca="false">IF(M89=1,1,0)</f>
        <v>1</v>
      </c>
      <c r="P89" s="124" t="n">
        <f aca="false">IF(M89=2,1,0)</f>
        <v>0</v>
      </c>
      <c r="Q89" s="124" t="n">
        <f aca="false">IF(M89=3,1,0)</f>
        <v>0</v>
      </c>
      <c r="R89" s="125" t="n">
        <f aca="false">IF(M89=4,1,0)</f>
        <v>0</v>
      </c>
      <c r="S89" s="166"/>
      <c r="T89" s="161"/>
      <c r="U89" s="168"/>
    </row>
    <row r="90" customFormat="false" ht="20.1" hidden="false" customHeight="true" outlineLevel="0" collapsed="false">
      <c r="B90" s="56"/>
      <c r="C90" s="161"/>
      <c r="D90" s="161"/>
      <c r="E90" s="236" t="s">
        <v>11</v>
      </c>
      <c r="F90" s="39" t="s">
        <v>12</v>
      </c>
      <c r="G90" s="253" t="s">
        <v>62</v>
      </c>
      <c r="H90" s="253" t="s">
        <v>62</v>
      </c>
      <c r="I90" s="253" t="n">
        <v>0</v>
      </c>
      <c r="J90" s="253" t="n">
        <v>98</v>
      </c>
      <c r="K90" s="253" t="s">
        <v>62</v>
      </c>
      <c r="L90" s="255" t="n">
        <f aca="false">IF(J90="",0,(J90/J91)*100)</f>
        <v>86.7256637168142</v>
      </c>
      <c r="M90" s="253" t="n">
        <v>2</v>
      </c>
      <c r="N90" s="256" t="n">
        <v>3</v>
      </c>
      <c r="O90" s="135" t="n">
        <f aca="false">IF(M90=1,1,0)</f>
        <v>0</v>
      </c>
      <c r="P90" s="136" t="n">
        <f aca="false">IF(M90=2,1,0)</f>
        <v>1</v>
      </c>
      <c r="Q90" s="136" t="n">
        <f aca="false">IF(M90=3,1,0)</f>
        <v>0</v>
      </c>
      <c r="R90" s="137" t="n">
        <f aca="false">IF(M90=4,1,0)</f>
        <v>0</v>
      </c>
      <c r="S90" s="166"/>
      <c r="T90" s="161"/>
      <c r="U90" s="168"/>
    </row>
    <row r="91" customFormat="false" ht="20.1" hidden="true" customHeight="true" outlineLevel="1" collapsed="false">
      <c r="B91" s="56"/>
      <c r="C91" s="161"/>
      <c r="D91" s="161"/>
      <c r="E91" s="161"/>
      <c r="F91" s="169"/>
      <c r="G91" s="169"/>
      <c r="H91" s="161"/>
      <c r="I91" s="170" t="s">
        <v>94</v>
      </c>
      <c r="J91" s="141" t="n">
        <f aca="false">MAX(J87:J90)</f>
        <v>113</v>
      </c>
      <c r="K91" s="171"/>
      <c r="L91" s="166"/>
      <c r="M91" s="161"/>
      <c r="N91" s="144"/>
      <c r="O91" s="145" t="n">
        <f aca="false">SUM(O87:O90)</f>
        <v>1</v>
      </c>
      <c r="P91" s="146" t="n">
        <f aca="false">SUM(P87:P90)</f>
        <v>1</v>
      </c>
      <c r="Q91" s="145" t="n">
        <f aca="false">SUM(Q87:Q90)</f>
        <v>1</v>
      </c>
      <c r="R91" s="158" t="n">
        <f aca="false">SUM(R87:R90)</f>
        <v>1</v>
      </c>
      <c r="S91" s="172"/>
      <c r="T91" s="161"/>
      <c r="U91" s="168"/>
    </row>
    <row r="92" customFormat="false" ht="20.1" hidden="false" customHeight="true" outlineLevel="0" collapsed="false">
      <c r="B92" s="56"/>
      <c r="C92" s="161"/>
      <c r="D92" s="161"/>
      <c r="E92" s="161"/>
      <c r="F92" s="161"/>
      <c r="G92" s="161"/>
      <c r="H92" s="161"/>
      <c r="I92" s="161"/>
      <c r="J92" s="161"/>
      <c r="K92" s="161"/>
      <c r="L92" s="161"/>
      <c r="M92" s="161"/>
      <c r="N92" s="161"/>
      <c r="O92" s="161"/>
      <c r="P92" s="161"/>
      <c r="Q92" s="161"/>
      <c r="R92" s="161"/>
      <c r="S92" s="161"/>
      <c r="T92" s="161"/>
      <c r="U92" s="168"/>
    </row>
    <row r="93" customFormat="false" ht="20.1" hidden="false" customHeight="true" outlineLevel="0" collapsed="false">
      <c r="B93" s="56"/>
      <c r="D93" s="45"/>
      <c r="E93" s="45"/>
      <c r="F93" s="45"/>
      <c r="G93" s="45"/>
      <c r="H93" s="160"/>
      <c r="I93" s="45"/>
      <c r="J93" s="45"/>
      <c r="K93" s="45"/>
      <c r="U93" s="56"/>
    </row>
    <row r="94" customFormat="false" ht="20.1" hidden="false" customHeight="true" outlineLevel="0" collapsed="false">
      <c r="B94" s="56"/>
      <c r="C94" s="173"/>
      <c r="D94" s="173"/>
      <c r="E94" s="174" t="str">
        <f aca="false">IF(OR(M62="-",M62= ""),H62,M62)</f>
        <v>Rajas of the Ganges</v>
      </c>
      <c r="F94" s="174"/>
      <c r="G94" s="174"/>
      <c r="H94" s="174"/>
      <c r="I94" s="174"/>
      <c r="J94" s="174"/>
      <c r="K94" s="174"/>
      <c r="L94" s="174"/>
      <c r="M94" s="174"/>
      <c r="N94" s="174"/>
      <c r="O94" s="175"/>
      <c r="P94" s="175"/>
      <c r="Q94" s="175"/>
      <c r="R94" s="175"/>
      <c r="S94" s="175"/>
      <c r="T94" s="173"/>
      <c r="U94" s="56"/>
    </row>
    <row r="95" customFormat="false" ht="50.1" hidden="false" customHeight="true" outlineLevel="0" collapsed="false">
      <c r="B95" s="56"/>
      <c r="C95" s="173"/>
      <c r="D95" s="175"/>
      <c r="E95" s="59" t="s">
        <v>48</v>
      </c>
      <c r="F95" s="109" t="s">
        <v>80</v>
      </c>
      <c r="G95" s="61" t="s">
        <v>81</v>
      </c>
      <c r="H95" s="60" t="s">
        <v>82</v>
      </c>
      <c r="I95" s="6" t="s">
        <v>83</v>
      </c>
      <c r="J95" s="60" t="s">
        <v>84</v>
      </c>
      <c r="K95" s="110" t="s">
        <v>85</v>
      </c>
      <c r="L95" s="60" t="s">
        <v>86</v>
      </c>
      <c r="M95" s="111" t="s">
        <v>87</v>
      </c>
      <c r="N95" s="61" t="s">
        <v>88</v>
      </c>
      <c r="O95" s="112" t="s">
        <v>89</v>
      </c>
      <c r="P95" s="113" t="s">
        <v>90</v>
      </c>
      <c r="Q95" s="113" t="s">
        <v>91</v>
      </c>
      <c r="R95" s="12" t="s">
        <v>92</v>
      </c>
      <c r="S95" s="175"/>
      <c r="T95" s="173"/>
      <c r="U95" s="56"/>
    </row>
    <row r="96" customFormat="false" ht="20.1" hidden="false" customHeight="true" outlineLevel="0" collapsed="false">
      <c r="B96" s="56"/>
      <c r="C96" s="173"/>
      <c r="D96" s="173"/>
      <c r="E96" s="243" t="s">
        <v>17</v>
      </c>
      <c r="F96" s="244" t="s">
        <v>19</v>
      </c>
      <c r="G96" s="245" t="n">
        <v>2</v>
      </c>
      <c r="H96" s="245" t="s">
        <v>62</v>
      </c>
      <c r="I96" s="245" t="n">
        <v>-59</v>
      </c>
      <c r="J96" s="245" t="n">
        <v>2</v>
      </c>
      <c r="K96" s="245" t="s">
        <v>62</v>
      </c>
      <c r="L96" s="246" t="n">
        <f aca="false">($I$96-J96)/($I$96-$J$96)*100</f>
        <v>100</v>
      </c>
      <c r="M96" s="245" t="n">
        <v>1</v>
      </c>
      <c r="N96" s="247" t="n">
        <v>6</v>
      </c>
      <c r="O96" s="116" t="n">
        <f aca="false">IF(M96=1,1,0)</f>
        <v>1</v>
      </c>
      <c r="P96" s="117" t="n">
        <f aca="false">IF(M96=2,1,0)</f>
        <v>0</v>
      </c>
      <c r="Q96" s="117" t="n">
        <f aca="false">IF(M96=3,1,0)</f>
        <v>0</v>
      </c>
      <c r="R96" s="118" t="n">
        <f aca="false">IF(M96=4,1,0)</f>
        <v>0</v>
      </c>
      <c r="S96" s="176"/>
      <c r="T96" s="173"/>
      <c r="U96" s="56"/>
    </row>
    <row r="97" customFormat="false" ht="20.1" hidden="false" customHeight="true" outlineLevel="0" collapsed="false">
      <c r="B97" s="56"/>
      <c r="C97" s="173"/>
      <c r="D97" s="173"/>
      <c r="E97" s="77" t="s">
        <v>20</v>
      </c>
      <c r="F97" s="29" t="s">
        <v>21</v>
      </c>
      <c r="G97" s="248" t="n">
        <v>3</v>
      </c>
      <c r="H97" s="248" t="s">
        <v>62</v>
      </c>
      <c r="I97" s="248" t="n">
        <v>-58</v>
      </c>
      <c r="J97" s="248" t="n">
        <v>-7</v>
      </c>
      <c r="K97" s="248" t="s">
        <v>62</v>
      </c>
      <c r="L97" s="250" t="n">
        <f aca="false">($I$96-J97)/($I$96-$J$96)*100</f>
        <v>85.2459016393443</v>
      </c>
      <c r="M97" s="248" t="n">
        <v>3</v>
      </c>
      <c r="N97" s="251" t="n">
        <v>1</v>
      </c>
      <c r="O97" s="123" t="n">
        <f aca="false">IF(M97=1,1,0)</f>
        <v>0</v>
      </c>
      <c r="P97" s="124" t="n">
        <f aca="false">IF(M97=2,1,0)</f>
        <v>0</v>
      </c>
      <c r="Q97" s="124" t="n">
        <f aca="false">IF(M97=3,1,0)</f>
        <v>1</v>
      </c>
      <c r="R97" s="125" t="n">
        <f aca="false">IF(M97=4,1,0)</f>
        <v>0</v>
      </c>
      <c r="S97" s="176"/>
      <c r="T97" s="173"/>
      <c r="U97" s="56"/>
    </row>
    <row r="98" customFormat="false" ht="20.1" hidden="false" customHeight="true" outlineLevel="0" collapsed="false">
      <c r="B98" s="56"/>
      <c r="C98" s="173"/>
      <c r="D98" s="173"/>
      <c r="E98" s="77" t="s">
        <v>15</v>
      </c>
      <c r="F98" s="29" t="s">
        <v>16</v>
      </c>
      <c r="G98" s="248" t="n">
        <v>4</v>
      </c>
      <c r="H98" s="248" t="s">
        <v>62</v>
      </c>
      <c r="I98" s="248" t="n">
        <v>-58</v>
      </c>
      <c r="J98" s="248" t="n">
        <v>-2</v>
      </c>
      <c r="K98" s="248" t="s">
        <v>62</v>
      </c>
      <c r="L98" s="250" t="n">
        <f aca="false">($I$96-J98)/($I$96-$J$96)*100</f>
        <v>93.4426229508197</v>
      </c>
      <c r="M98" s="248" t="n">
        <v>2</v>
      </c>
      <c r="N98" s="251" t="n">
        <v>3</v>
      </c>
      <c r="O98" s="123" t="n">
        <f aca="false">IF(M98=1,1,0)</f>
        <v>0</v>
      </c>
      <c r="P98" s="124" t="n">
        <f aca="false">IF(M98=2,1,0)</f>
        <v>1</v>
      </c>
      <c r="Q98" s="124" t="n">
        <f aca="false">IF(M98=3,1,0)</f>
        <v>0</v>
      </c>
      <c r="R98" s="125" t="n">
        <f aca="false">IF(M98=4,1,0)</f>
        <v>0</v>
      </c>
      <c r="S98" s="176"/>
      <c r="T98" s="173"/>
      <c r="U98" s="56"/>
    </row>
    <row r="99" customFormat="false" ht="20.1" hidden="false" customHeight="true" outlineLevel="0" collapsed="false">
      <c r="B99" s="56"/>
      <c r="C99" s="173"/>
      <c r="D99" s="177"/>
      <c r="E99" s="236" t="s">
        <v>11</v>
      </c>
      <c r="F99" s="39" t="s">
        <v>12</v>
      </c>
      <c r="G99" s="253" t="n">
        <v>1</v>
      </c>
      <c r="H99" s="253" t="s">
        <v>62</v>
      </c>
      <c r="I99" s="253" t="n">
        <v>-59</v>
      </c>
      <c r="J99" s="253" t="n">
        <v>-20</v>
      </c>
      <c r="K99" s="253" t="s">
        <v>62</v>
      </c>
      <c r="L99" s="255" t="n">
        <f aca="false">($I$96-J99)/($I$96-$J$96)*100</f>
        <v>63.9344262295082</v>
      </c>
      <c r="M99" s="253" t="n">
        <v>4</v>
      </c>
      <c r="N99" s="256" t="n">
        <v>0</v>
      </c>
      <c r="O99" s="135" t="n">
        <f aca="false">IF(M99=1,1,0)</f>
        <v>0</v>
      </c>
      <c r="P99" s="136" t="n">
        <f aca="false">IF(M99=2,1,0)</f>
        <v>0</v>
      </c>
      <c r="Q99" s="136" t="n">
        <f aca="false">IF(M99=3,1,0)</f>
        <v>0</v>
      </c>
      <c r="R99" s="137" t="n">
        <f aca="false">IF(M99=4,1,0)</f>
        <v>1</v>
      </c>
      <c r="S99" s="176"/>
      <c r="T99" s="173"/>
      <c r="U99" s="56"/>
    </row>
    <row r="100" customFormat="false" ht="20.1" hidden="true" customHeight="true" outlineLevel="1" collapsed="false">
      <c r="B100" s="56"/>
      <c r="C100" s="173"/>
      <c r="D100" s="173"/>
      <c r="E100" s="173"/>
      <c r="F100" s="178"/>
      <c r="G100" s="178"/>
      <c r="H100" s="173"/>
      <c r="I100" s="156" t="s">
        <v>94</v>
      </c>
      <c r="J100" s="141" t="n">
        <f aca="false">MAX(J96:J99)</f>
        <v>2</v>
      </c>
      <c r="K100" s="179"/>
      <c r="L100" s="176"/>
      <c r="M100" s="173"/>
      <c r="N100" s="144" t="s">
        <v>95</v>
      </c>
      <c r="O100" s="145" t="n">
        <f aca="false">SUM(O96:O99)</f>
        <v>1</v>
      </c>
      <c r="P100" s="146" t="n">
        <f aca="false">SUM(P96:P99)</f>
        <v>1</v>
      </c>
      <c r="Q100" s="145" t="n">
        <f aca="false">SUM(Q96:Q99)</f>
        <v>1</v>
      </c>
      <c r="R100" s="158" t="n">
        <f aca="false">SUM(R96:R99)</f>
        <v>1</v>
      </c>
      <c r="S100" s="180"/>
      <c r="T100" s="173"/>
      <c r="U100" s="56"/>
    </row>
    <row r="101" customFormat="false" ht="20.1" hidden="false" customHeight="true" outlineLevel="0" collapsed="false">
      <c r="B101" s="56"/>
      <c r="C101" s="173"/>
      <c r="D101" s="173"/>
      <c r="E101" s="173"/>
      <c r="F101" s="173"/>
      <c r="G101" s="173"/>
      <c r="H101" s="173"/>
      <c r="I101" s="173"/>
      <c r="J101" s="173"/>
      <c r="K101" s="173"/>
      <c r="L101" s="173"/>
      <c r="M101" s="173"/>
      <c r="N101" s="173"/>
      <c r="O101" s="173"/>
      <c r="P101" s="173"/>
      <c r="Q101" s="173"/>
      <c r="R101" s="173"/>
      <c r="S101" s="173"/>
      <c r="T101" s="173"/>
      <c r="U101" s="56"/>
    </row>
    <row r="102" customFormat="false" ht="20.1" hidden="false" customHeight="true" outlineLevel="0" collapsed="false">
      <c r="B102" s="56"/>
      <c r="D102" s="5"/>
      <c r="E102" s="5"/>
      <c r="F102" s="5"/>
      <c r="G102" s="5"/>
      <c r="H102" s="5"/>
      <c r="I102" s="5"/>
      <c r="J102" s="5"/>
      <c r="U102" s="56"/>
    </row>
    <row r="103" customFormat="false" ht="30" hidden="false" customHeight="true" outlineLevel="0" collapsed="false">
      <c r="B103" s="56"/>
      <c r="C103" s="181"/>
      <c r="D103" s="182" t="s">
        <v>100</v>
      </c>
      <c r="E103" s="182"/>
      <c r="F103" s="182"/>
      <c r="G103" s="182"/>
      <c r="H103" s="182"/>
      <c r="I103" s="182"/>
      <c r="J103" s="182"/>
      <c r="K103" s="182"/>
      <c r="L103" s="182"/>
      <c r="M103" s="182"/>
      <c r="N103" s="182"/>
      <c r="O103" s="182"/>
      <c r="P103" s="182"/>
      <c r="Q103" s="182"/>
      <c r="R103" s="182"/>
      <c r="S103" s="182"/>
      <c r="T103" s="181"/>
      <c r="U103" s="56"/>
    </row>
    <row r="104" customFormat="false" ht="50.1" hidden="false" customHeight="true" outlineLevel="0" collapsed="false">
      <c r="B104" s="56"/>
      <c r="C104" s="181"/>
      <c r="D104" s="183" t="s">
        <v>48</v>
      </c>
      <c r="E104" s="184" t="s">
        <v>49</v>
      </c>
      <c r="F104" s="185" t="s">
        <v>88</v>
      </c>
      <c r="G104" s="186" t="s">
        <v>101</v>
      </c>
      <c r="H104" s="187" t="s">
        <v>102</v>
      </c>
      <c r="I104" s="187"/>
      <c r="J104" s="188" t="s">
        <v>103</v>
      </c>
      <c r="K104" s="189" t="s">
        <v>104</v>
      </c>
      <c r="L104" s="185" t="s">
        <v>105</v>
      </c>
      <c r="M104" s="189" t="s">
        <v>106</v>
      </c>
      <c r="N104" s="185" t="s">
        <v>107</v>
      </c>
      <c r="O104" s="190"/>
      <c r="P104" s="191"/>
      <c r="Q104" s="191"/>
      <c r="R104" s="191"/>
      <c r="S104" s="184" t="s">
        <v>108</v>
      </c>
      <c r="T104" s="181"/>
      <c r="U104" s="56"/>
    </row>
    <row r="105" customFormat="false" ht="20.1" hidden="false" customHeight="true" outlineLevel="0" collapsed="false">
      <c r="B105" s="56"/>
      <c r="C105" s="181"/>
      <c r="D105" s="192" t="s">
        <v>15</v>
      </c>
      <c r="E105" s="193" t="s">
        <v>16</v>
      </c>
      <c r="F105" s="194" t="n">
        <f aca="false">(K105*6+L105*3+M105*1+N105*0)</f>
        <v>16</v>
      </c>
      <c r="G105" s="194" t="n">
        <v>0</v>
      </c>
      <c r="H105" s="195" t="s">
        <v>62</v>
      </c>
      <c r="I105" s="195"/>
      <c r="J105" s="194" t="n">
        <f aca="false">F105+G105</f>
        <v>16</v>
      </c>
      <c r="K105" s="194" t="n">
        <v>2</v>
      </c>
      <c r="L105" s="194" t="n">
        <v>1</v>
      </c>
      <c r="M105" s="194" t="n">
        <v>1</v>
      </c>
      <c r="N105" s="194" t="n">
        <v>0</v>
      </c>
      <c r="O105" s="194"/>
      <c r="P105" s="194"/>
      <c r="Q105" s="194"/>
      <c r="R105" s="194"/>
      <c r="S105" s="196" t="n">
        <f aca="false">(L71+L80+L89+L98)/4</f>
        <v>91.5424739195231</v>
      </c>
      <c r="T105" s="181"/>
      <c r="U105" s="56"/>
      <c r="W105" s="197"/>
      <c r="X105" s="197"/>
      <c r="Y105" s="197"/>
      <c r="Z105" s="197"/>
    </row>
    <row r="106" customFormat="false" ht="20.1" hidden="false" customHeight="true" outlineLevel="0" collapsed="false">
      <c r="B106" s="56"/>
      <c r="C106" s="181"/>
      <c r="D106" s="198" t="s">
        <v>11</v>
      </c>
      <c r="E106" s="199" t="s">
        <v>12</v>
      </c>
      <c r="F106" s="200" t="n">
        <f aca="false">(K106*6+L106*3+M106*1+N106*0)</f>
        <v>12</v>
      </c>
      <c r="G106" s="200" t="n">
        <v>0</v>
      </c>
      <c r="H106" s="201" t="s">
        <v>62</v>
      </c>
      <c r="I106" s="201"/>
      <c r="J106" s="200" t="n">
        <f aca="false">F106+G106</f>
        <v>12</v>
      </c>
      <c r="K106" s="200" t="n">
        <v>1</v>
      </c>
      <c r="L106" s="200" t="n">
        <v>2</v>
      </c>
      <c r="M106" s="200" t="n">
        <v>0</v>
      </c>
      <c r="N106" s="200" t="n">
        <v>1</v>
      </c>
      <c r="O106" s="200"/>
      <c r="P106" s="200"/>
      <c r="Q106" s="200"/>
      <c r="R106" s="200"/>
      <c r="S106" s="202" t="n">
        <f aca="false">(L72+L81+L90+L99)/4</f>
        <v>83.4515393405132</v>
      </c>
      <c r="T106" s="181"/>
      <c r="U106" s="56"/>
      <c r="W106" s="203"/>
      <c r="X106" s="203"/>
      <c r="Y106" s="203"/>
      <c r="Z106" s="203"/>
    </row>
    <row r="107" customFormat="false" ht="20.1" hidden="false" customHeight="true" outlineLevel="0" collapsed="false">
      <c r="B107" s="56"/>
      <c r="C107" s="181"/>
      <c r="D107" s="198" t="s">
        <v>17</v>
      </c>
      <c r="E107" s="199" t="s">
        <v>18</v>
      </c>
      <c r="F107" s="200" t="n">
        <f aca="false">(K107*6+L107*3+M107*1+N107*0)</f>
        <v>7</v>
      </c>
      <c r="G107" s="200" t="n">
        <v>0</v>
      </c>
      <c r="H107" s="201" t="s">
        <v>62</v>
      </c>
      <c r="I107" s="201"/>
      <c r="J107" s="200" t="n">
        <f aca="false">F107+G107</f>
        <v>7</v>
      </c>
      <c r="K107" s="200" t="n">
        <v>1</v>
      </c>
      <c r="L107" s="200" t="n">
        <v>0</v>
      </c>
      <c r="M107" s="200" t="n">
        <v>1</v>
      </c>
      <c r="N107" s="200" t="n">
        <v>2</v>
      </c>
      <c r="O107" s="200"/>
      <c r="P107" s="200"/>
      <c r="Q107" s="200"/>
      <c r="R107" s="200"/>
      <c r="S107" s="202" t="n">
        <f aca="false">(L69+L78+L87+L96)/4</f>
        <v>75.9717338443599</v>
      </c>
      <c r="T107" s="181"/>
      <c r="U107" s="56"/>
      <c r="W107" s="203"/>
      <c r="X107" s="203"/>
      <c r="Y107" s="203"/>
      <c r="Z107" s="203"/>
    </row>
    <row r="108" customFormat="false" ht="20.1" hidden="false" customHeight="true" outlineLevel="0" collapsed="false">
      <c r="B108" s="56"/>
      <c r="C108" s="181"/>
      <c r="D108" s="204" t="s">
        <v>20</v>
      </c>
      <c r="E108" s="205" t="s">
        <v>21</v>
      </c>
      <c r="F108" s="206" t="n">
        <f aca="false">(K108*6+L108*3+M108*1+N108*0)</f>
        <v>5</v>
      </c>
      <c r="G108" s="206" t="n">
        <v>0</v>
      </c>
      <c r="H108" s="207" t="s">
        <v>62</v>
      </c>
      <c r="I108" s="207"/>
      <c r="J108" s="206" t="n">
        <f aca="false">F108+G108</f>
        <v>5</v>
      </c>
      <c r="K108" s="206" t="n">
        <v>0</v>
      </c>
      <c r="L108" s="206" t="n">
        <v>1</v>
      </c>
      <c r="M108" s="206" t="n">
        <v>2</v>
      </c>
      <c r="N108" s="206" t="n">
        <v>1</v>
      </c>
      <c r="O108" s="206"/>
      <c r="P108" s="206"/>
      <c r="Q108" s="206"/>
      <c r="R108" s="206"/>
      <c r="S108" s="208" t="n">
        <f aca="false">(L70+L79+L88+L97)/4</f>
        <v>79.5022877793299</v>
      </c>
      <c r="T108" s="181"/>
      <c r="U108" s="56"/>
      <c r="W108" s="203"/>
      <c r="X108" s="203"/>
      <c r="Y108" s="203"/>
      <c r="Z108" s="203"/>
      <c r="AB108" s="203"/>
      <c r="AC108" s="203"/>
      <c r="AD108" s="203"/>
      <c r="AE108" s="203"/>
    </row>
    <row r="109" customFormat="false" ht="20.1" hidden="false" customHeight="true" outlineLevel="0" collapsed="false">
      <c r="B109" s="56"/>
      <c r="C109" s="181"/>
      <c r="D109" s="209"/>
      <c r="E109" s="209"/>
      <c r="F109" s="210"/>
      <c r="G109" s="210"/>
      <c r="H109" s="211"/>
      <c r="I109" s="211"/>
      <c r="J109" s="210"/>
      <c r="K109" s="210"/>
      <c r="L109" s="210"/>
      <c r="M109" s="210"/>
      <c r="N109" s="210"/>
      <c r="O109" s="210"/>
      <c r="P109" s="210"/>
      <c r="Q109" s="210"/>
      <c r="R109" s="210"/>
      <c r="S109" s="212"/>
      <c r="T109" s="181"/>
      <c r="U109" s="56"/>
      <c r="W109" s="203"/>
      <c r="X109" s="203"/>
      <c r="Y109" s="203"/>
      <c r="Z109" s="203"/>
    </row>
    <row r="110" customFormat="false" ht="20.1" hidden="false" customHeight="true" outlineLevel="0" collapsed="false">
      <c r="B110" s="56"/>
      <c r="C110" s="56"/>
      <c r="D110" s="213"/>
      <c r="E110" s="213"/>
      <c r="F110" s="164"/>
      <c r="G110" s="164"/>
      <c r="H110" s="213"/>
      <c r="I110" s="213"/>
      <c r="J110" s="213"/>
      <c r="K110" s="56"/>
      <c r="L110" s="56"/>
      <c r="M110" s="56"/>
      <c r="N110" s="56"/>
      <c r="O110" s="56"/>
      <c r="P110" s="56"/>
      <c r="Q110" s="56"/>
      <c r="R110" s="56"/>
      <c r="S110" s="56"/>
      <c r="T110" s="56"/>
      <c r="U110" s="56"/>
    </row>
    <row r="111" customFormat="false" ht="20.1" hidden="false" customHeight="true" outlineLevel="0" collapsed="false">
      <c r="D111" s="214"/>
    </row>
    <row r="112" customFormat="false" ht="20.1" hidden="false" customHeight="true" outlineLevel="0" collapsed="false">
      <c r="D112" s="215"/>
    </row>
    <row r="113" customFormat="false" ht="20.1" hidden="false" customHeight="true" outlineLevel="0" collapsed="false">
      <c r="B113" s="56"/>
      <c r="C113" s="56"/>
      <c r="D113" s="57"/>
      <c r="E113" s="57"/>
      <c r="F113" s="57"/>
      <c r="G113" s="57"/>
      <c r="H113" s="56"/>
      <c r="I113" s="56"/>
      <c r="J113" s="56"/>
      <c r="K113" s="56"/>
      <c r="L113" s="56"/>
      <c r="M113" s="56"/>
      <c r="N113" s="56"/>
      <c r="O113" s="56"/>
      <c r="P113" s="56"/>
      <c r="Q113" s="56"/>
      <c r="R113" s="56"/>
      <c r="S113" s="56"/>
      <c r="T113" s="56"/>
      <c r="U113" s="56"/>
    </row>
    <row r="114" customFormat="false" ht="30" hidden="false" customHeight="true" outlineLevel="0" collapsed="false">
      <c r="B114" s="56"/>
      <c r="C114" s="58" t="s">
        <v>109</v>
      </c>
      <c r="D114" s="58"/>
      <c r="E114" s="58"/>
      <c r="F114" s="58"/>
      <c r="G114" s="58"/>
      <c r="H114" s="58"/>
      <c r="I114" s="58"/>
      <c r="J114" s="58"/>
      <c r="K114" s="58"/>
      <c r="L114" s="58"/>
      <c r="M114" s="58"/>
      <c r="N114" s="58"/>
      <c r="O114" s="58"/>
      <c r="P114" s="58"/>
      <c r="Q114" s="58"/>
      <c r="R114" s="58"/>
      <c r="S114" s="58"/>
      <c r="T114" s="58"/>
      <c r="U114" s="56"/>
    </row>
    <row r="115" customFormat="false" ht="20.1" hidden="false" customHeight="true" outlineLevel="0" collapsed="false">
      <c r="B115" s="56"/>
      <c r="U115" s="56"/>
    </row>
    <row r="116" customFormat="false" ht="20.1" hidden="false" customHeight="true" outlineLevel="0" collapsed="false">
      <c r="B116" s="56"/>
      <c r="D116" s="59" t="s">
        <v>48</v>
      </c>
      <c r="E116" s="60" t="s">
        <v>49</v>
      </c>
      <c r="F116" s="61" t="s">
        <v>10</v>
      </c>
      <c r="G116" s="216" t="s">
        <v>50</v>
      </c>
      <c r="H116" s="216"/>
      <c r="I116" s="216"/>
      <c r="J116" s="216"/>
      <c r="K116" s="60" t="s">
        <v>51</v>
      </c>
      <c r="L116" s="62" t="s">
        <v>52</v>
      </c>
      <c r="M116" s="62"/>
      <c r="N116" s="62"/>
      <c r="O116" s="62"/>
      <c r="P116" s="62"/>
      <c r="Q116" s="62"/>
      <c r="R116" s="62"/>
      <c r="S116" s="62"/>
      <c r="U116" s="56"/>
    </row>
    <row r="117" customFormat="false" ht="20.1" hidden="false" customHeight="true" outlineLevel="0" collapsed="false">
      <c r="B117" s="56"/>
      <c r="D117" s="59"/>
      <c r="E117" s="60"/>
      <c r="F117" s="60"/>
      <c r="G117" s="66" t="s">
        <v>53</v>
      </c>
      <c r="H117" s="65" t="s">
        <v>54</v>
      </c>
      <c r="I117" s="61" t="s">
        <v>55</v>
      </c>
      <c r="J117" s="61"/>
      <c r="K117" s="65" t="s">
        <v>56</v>
      </c>
      <c r="L117" s="217" t="s">
        <v>53</v>
      </c>
      <c r="M117" s="218" t="s">
        <v>57</v>
      </c>
      <c r="N117" s="61" t="s">
        <v>55</v>
      </c>
      <c r="O117" s="61"/>
      <c r="P117" s="61"/>
      <c r="Q117" s="61"/>
      <c r="R117" s="61"/>
      <c r="S117" s="61"/>
      <c r="U117" s="56"/>
    </row>
    <row r="118" customFormat="false" ht="15" hidden="false" customHeight="true" outlineLevel="0" collapsed="false">
      <c r="B118" s="56"/>
      <c r="D118" s="67" t="s">
        <v>37</v>
      </c>
      <c r="E118" s="16" t="s">
        <v>38</v>
      </c>
      <c r="F118" s="350" t="n">
        <v>1</v>
      </c>
      <c r="G118" s="68" t="s">
        <v>58</v>
      </c>
      <c r="H118" s="69" t="s">
        <v>393</v>
      </c>
      <c r="I118" s="70" t="s">
        <v>394</v>
      </c>
      <c r="J118" s="70"/>
      <c r="K118" s="465" t="s">
        <v>395</v>
      </c>
      <c r="L118" s="72" t="s">
        <v>62</v>
      </c>
      <c r="M118" s="73" t="s">
        <v>62</v>
      </c>
      <c r="N118" s="74" t="s">
        <v>62</v>
      </c>
      <c r="O118" s="74"/>
      <c r="P118" s="74"/>
      <c r="Q118" s="74"/>
      <c r="R118" s="74"/>
      <c r="S118" s="74"/>
      <c r="U118" s="56"/>
    </row>
    <row r="119" customFormat="false" ht="27.95" hidden="false" customHeight="true" outlineLevel="0" collapsed="false">
      <c r="B119" s="56"/>
      <c r="D119" s="67"/>
      <c r="E119" s="16"/>
      <c r="F119" s="350"/>
      <c r="G119" s="68"/>
      <c r="H119" s="69"/>
      <c r="I119" s="75" t="s">
        <v>396</v>
      </c>
      <c r="J119" s="75"/>
      <c r="K119" s="465"/>
      <c r="L119" s="72"/>
      <c r="M119" s="73"/>
      <c r="N119" s="74"/>
      <c r="O119" s="74"/>
      <c r="P119" s="74"/>
      <c r="Q119" s="74"/>
      <c r="R119" s="74"/>
      <c r="S119" s="74"/>
      <c r="U119" s="56"/>
    </row>
    <row r="120" customFormat="false" ht="15" hidden="false" customHeight="true" outlineLevel="0" collapsed="false">
      <c r="B120" s="56"/>
      <c r="D120" s="67"/>
      <c r="E120" s="16"/>
      <c r="F120" s="350"/>
      <c r="G120" s="68"/>
      <c r="H120" s="69"/>
      <c r="I120" s="75" t="s">
        <v>397</v>
      </c>
      <c r="J120" s="75"/>
      <c r="K120" s="465"/>
      <c r="L120" s="72"/>
      <c r="M120" s="73"/>
      <c r="N120" s="74"/>
      <c r="O120" s="74"/>
      <c r="P120" s="74"/>
      <c r="Q120" s="74"/>
      <c r="R120" s="74"/>
      <c r="S120" s="74"/>
      <c r="U120" s="56"/>
    </row>
    <row r="121" customFormat="false" ht="15" hidden="false" customHeight="true" outlineLevel="0" collapsed="false">
      <c r="B121" s="56"/>
      <c r="D121" s="67"/>
      <c r="E121" s="16"/>
      <c r="F121" s="350"/>
      <c r="G121" s="68"/>
      <c r="H121" s="69"/>
      <c r="I121" s="75" t="s">
        <v>398</v>
      </c>
      <c r="J121" s="75"/>
      <c r="K121" s="465"/>
      <c r="L121" s="72"/>
      <c r="M121" s="73"/>
      <c r="N121" s="74"/>
      <c r="O121" s="74"/>
      <c r="P121" s="74"/>
      <c r="Q121" s="74"/>
      <c r="R121" s="74"/>
      <c r="S121" s="74"/>
      <c r="U121" s="56"/>
    </row>
    <row r="122" customFormat="false" ht="15" hidden="false" customHeight="true" outlineLevel="0" collapsed="false">
      <c r="B122" s="56"/>
      <c r="D122" s="67"/>
      <c r="E122" s="16"/>
      <c r="F122" s="350"/>
      <c r="G122" s="68"/>
      <c r="H122" s="69"/>
      <c r="I122" s="75" t="s">
        <v>399</v>
      </c>
      <c r="J122" s="75"/>
      <c r="K122" s="465"/>
      <c r="L122" s="72"/>
      <c r="M122" s="73"/>
      <c r="N122" s="74"/>
      <c r="O122" s="74"/>
      <c r="P122" s="74"/>
      <c r="Q122" s="74"/>
      <c r="R122" s="74"/>
      <c r="S122" s="74"/>
      <c r="U122" s="56"/>
    </row>
    <row r="123" customFormat="false" ht="15" hidden="false" customHeight="true" outlineLevel="0" collapsed="false">
      <c r="B123" s="56"/>
      <c r="D123" s="67"/>
      <c r="E123" s="16"/>
      <c r="F123" s="350"/>
      <c r="G123" s="68"/>
      <c r="H123" s="69"/>
      <c r="I123" s="75" t="s">
        <v>400</v>
      </c>
      <c r="J123" s="75"/>
      <c r="K123" s="465"/>
      <c r="L123" s="72"/>
      <c r="M123" s="73"/>
      <c r="N123" s="74"/>
      <c r="O123" s="74"/>
      <c r="P123" s="74"/>
      <c r="Q123" s="74"/>
      <c r="R123" s="74"/>
      <c r="S123" s="74"/>
      <c r="U123" s="56"/>
    </row>
    <row r="124" customFormat="false" ht="15" hidden="false" customHeight="true" outlineLevel="0" collapsed="false">
      <c r="B124" s="56"/>
      <c r="D124" s="67"/>
      <c r="E124" s="16"/>
      <c r="F124" s="350"/>
      <c r="G124" s="68"/>
      <c r="H124" s="69"/>
      <c r="I124" s="75" t="s">
        <v>401</v>
      </c>
      <c r="J124" s="75"/>
      <c r="K124" s="465"/>
      <c r="L124" s="72"/>
      <c r="M124" s="73"/>
      <c r="N124" s="74"/>
      <c r="O124" s="74"/>
      <c r="P124" s="74"/>
      <c r="Q124" s="74"/>
      <c r="R124" s="74"/>
      <c r="S124" s="74"/>
      <c r="U124" s="56"/>
    </row>
    <row r="125" customFormat="false" ht="15" hidden="false" customHeight="true" outlineLevel="0" collapsed="false">
      <c r="B125" s="56"/>
      <c r="D125" s="67"/>
      <c r="E125" s="16"/>
      <c r="F125" s="350"/>
      <c r="G125" s="68"/>
      <c r="H125" s="69"/>
      <c r="I125" s="75" t="s">
        <v>402</v>
      </c>
      <c r="J125" s="75"/>
      <c r="K125" s="465"/>
      <c r="L125" s="72"/>
      <c r="M125" s="73"/>
      <c r="N125" s="74"/>
      <c r="O125" s="74"/>
      <c r="P125" s="74"/>
      <c r="Q125" s="74"/>
      <c r="R125" s="74"/>
      <c r="S125" s="74"/>
      <c r="U125" s="56"/>
    </row>
    <row r="126" customFormat="false" ht="15" hidden="false" customHeight="true" outlineLevel="0" collapsed="false">
      <c r="B126" s="56"/>
      <c r="D126" s="67"/>
      <c r="E126" s="16"/>
      <c r="F126" s="350"/>
      <c r="G126" s="68"/>
      <c r="H126" s="69"/>
      <c r="I126" s="76" t="s">
        <v>403</v>
      </c>
      <c r="J126" s="76"/>
      <c r="K126" s="465"/>
      <c r="L126" s="72"/>
      <c r="M126" s="73"/>
      <c r="N126" s="74"/>
      <c r="O126" s="74"/>
      <c r="P126" s="74"/>
      <c r="Q126" s="74"/>
      <c r="R126" s="74"/>
      <c r="S126" s="74"/>
      <c r="U126" s="56"/>
    </row>
    <row r="127" customFormat="false" ht="21.95" hidden="false" customHeight="true" outlineLevel="0" collapsed="false">
      <c r="B127" s="56"/>
      <c r="D127" s="120" t="s">
        <v>24</v>
      </c>
      <c r="E127" s="29" t="s">
        <v>25</v>
      </c>
      <c r="F127" s="366" t="n">
        <v>2</v>
      </c>
      <c r="G127" s="78" t="s">
        <v>58</v>
      </c>
      <c r="H127" s="79" t="s">
        <v>67</v>
      </c>
      <c r="I127" s="466" t="s">
        <v>70</v>
      </c>
      <c r="J127" s="466"/>
      <c r="K127" s="467" t="s">
        <v>404</v>
      </c>
      <c r="L127" s="296" t="s">
        <v>62</v>
      </c>
      <c r="M127" s="83" t="s">
        <v>62</v>
      </c>
      <c r="N127" s="84" t="s">
        <v>62</v>
      </c>
      <c r="O127" s="84"/>
      <c r="P127" s="84"/>
      <c r="Q127" s="84"/>
      <c r="R127" s="84"/>
      <c r="S127" s="84"/>
      <c r="U127" s="56"/>
    </row>
    <row r="128" customFormat="false" ht="21.95" hidden="false" customHeight="true" outlineLevel="0" collapsed="false">
      <c r="B128" s="56"/>
      <c r="D128" s="120"/>
      <c r="E128" s="29"/>
      <c r="F128" s="366"/>
      <c r="G128" s="78"/>
      <c r="H128" s="79"/>
      <c r="I128" s="454" t="s">
        <v>73</v>
      </c>
      <c r="J128" s="454"/>
      <c r="K128" s="467"/>
      <c r="L128" s="296"/>
      <c r="M128" s="83"/>
      <c r="N128" s="84"/>
      <c r="O128" s="84"/>
      <c r="P128" s="84"/>
      <c r="Q128" s="84"/>
      <c r="R128" s="84"/>
      <c r="S128" s="84"/>
      <c r="U128" s="56"/>
    </row>
    <row r="129" customFormat="false" ht="20.1" hidden="false" customHeight="true" outlineLevel="0" collapsed="false">
      <c r="B129" s="56"/>
      <c r="D129" s="228" t="s">
        <v>159</v>
      </c>
      <c r="E129" s="229" t="s">
        <v>160</v>
      </c>
      <c r="F129" s="397" t="n">
        <v>3</v>
      </c>
      <c r="G129" s="468" t="s">
        <v>58</v>
      </c>
      <c r="H129" s="469" t="s">
        <v>395</v>
      </c>
      <c r="I129" s="91" t="s">
        <v>405</v>
      </c>
      <c r="J129" s="91"/>
      <c r="K129" s="470" t="s">
        <v>113</v>
      </c>
      <c r="L129" s="471" t="s">
        <v>62</v>
      </c>
      <c r="M129" s="472" t="s">
        <v>62</v>
      </c>
      <c r="N129" s="473" t="s">
        <v>62</v>
      </c>
      <c r="O129" s="473"/>
      <c r="P129" s="473"/>
      <c r="Q129" s="473"/>
      <c r="R129" s="473"/>
      <c r="S129" s="473"/>
      <c r="U129" s="56"/>
    </row>
    <row r="130" customFormat="false" ht="21.95" hidden="false" customHeight="true" outlineLevel="0" collapsed="false">
      <c r="B130" s="56"/>
      <c r="D130" s="474" t="s">
        <v>35</v>
      </c>
      <c r="E130" s="39" t="s">
        <v>36</v>
      </c>
      <c r="F130" s="475" t="n">
        <v>4</v>
      </c>
      <c r="G130" s="237" t="s">
        <v>58</v>
      </c>
      <c r="H130" s="476" t="s">
        <v>369</v>
      </c>
      <c r="I130" s="477" t="s">
        <v>406</v>
      </c>
      <c r="J130" s="477"/>
      <c r="K130" s="478" t="s">
        <v>113</v>
      </c>
      <c r="L130" s="433" t="s">
        <v>62</v>
      </c>
      <c r="M130" s="479" t="s">
        <v>62</v>
      </c>
      <c r="N130" s="242" t="s">
        <v>62</v>
      </c>
      <c r="O130" s="242"/>
      <c r="P130" s="242"/>
      <c r="Q130" s="242"/>
      <c r="R130" s="242"/>
      <c r="S130" s="242"/>
      <c r="U130" s="56"/>
    </row>
    <row r="131" customFormat="false" ht="21.95" hidden="false" customHeight="true" outlineLevel="0" collapsed="false">
      <c r="B131" s="56"/>
      <c r="D131" s="474"/>
      <c r="E131" s="39"/>
      <c r="F131" s="475"/>
      <c r="G131" s="237"/>
      <c r="H131" s="476"/>
      <c r="I131" s="464" t="s">
        <v>371</v>
      </c>
      <c r="J131" s="464"/>
      <c r="K131" s="478"/>
      <c r="L131" s="433"/>
      <c r="M131" s="479"/>
      <c r="N131" s="242"/>
      <c r="O131" s="242"/>
      <c r="P131" s="242"/>
      <c r="Q131" s="242"/>
      <c r="R131" s="242"/>
      <c r="S131" s="242"/>
      <c r="U131" s="56"/>
    </row>
    <row r="132" customFormat="false" ht="20.1" hidden="false" customHeight="true" outlineLevel="0" collapsed="false">
      <c r="B132" s="56"/>
      <c r="U132" s="56"/>
    </row>
    <row r="133" customFormat="false" ht="20.1" hidden="false" customHeight="true" outlineLevel="0" collapsed="false">
      <c r="B133" s="56"/>
      <c r="C133" s="106"/>
      <c r="D133" s="106"/>
      <c r="E133" s="107" t="str">
        <f aca="false">IF(OR(L118="-",L118= ""),H118,L118)</f>
        <v>Terra Mystica</v>
      </c>
      <c r="F133" s="107"/>
      <c r="G133" s="107"/>
      <c r="H133" s="107"/>
      <c r="I133" s="107"/>
      <c r="J133" s="107"/>
      <c r="K133" s="107"/>
      <c r="L133" s="107"/>
      <c r="M133" s="107"/>
      <c r="N133" s="107"/>
      <c r="O133" s="108"/>
      <c r="P133" s="108"/>
      <c r="Q133" s="108"/>
      <c r="R133" s="108"/>
      <c r="S133" s="108"/>
      <c r="T133" s="106"/>
      <c r="U133" s="56"/>
    </row>
    <row r="134" customFormat="false" ht="50.1" hidden="false" customHeight="true" outlineLevel="0" collapsed="false">
      <c r="B134" s="56"/>
      <c r="C134" s="106"/>
      <c r="D134" s="108"/>
      <c r="E134" s="59" t="s">
        <v>48</v>
      </c>
      <c r="F134" s="109" t="s">
        <v>80</v>
      </c>
      <c r="G134" s="61" t="s">
        <v>81</v>
      </c>
      <c r="H134" s="60" t="s">
        <v>82</v>
      </c>
      <c r="I134" s="6" t="s">
        <v>83</v>
      </c>
      <c r="J134" s="60" t="s">
        <v>84</v>
      </c>
      <c r="K134" s="110" t="s">
        <v>85</v>
      </c>
      <c r="L134" s="60" t="s">
        <v>86</v>
      </c>
      <c r="M134" s="111" t="s">
        <v>87</v>
      </c>
      <c r="N134" s="61" t="s">
        <v>88</v>
      </c>
      <c r="O134" s="112" t="s">
        <v>89</v>
      </c>
      <c r="P134" s="113" t="s">
        <v>90</v>
      </c>
      <c r="Q134" s="113" t="s">
        <v>91</v>
      </c>
      <c r="R134" s="12" t="s">
        <v>92</v>
      </c>
      <c r="S134" s="108"/>
      <c r="T134" s="106"/>
      <c r="U134" s="56"/>
    </row>
    <row r="135" customFormat="false" ht="20.1" hidden="false" customHeight="true" outlineLevel="0" collapsed="false">
      <c r="B135" s="56"/>
      <c r="C135" s="106"/>
      <c r="D135" s="131"/>
      <c r="E135" s="387" t="s">
        <v>37</v>
      </c>
      <c r="F135" s="244" t="s">
        <v>38</v>
      </c>
      <c r="G135" s="245" t="n">
        <v>4</v>
      </c>
      <c r="H135" s="245" t="s">
        <v>407</v>
      </c>
      <c r="I135" s="245" t="n">
        <v>40</v>
      </c>
      <c r="J135" s="245" t="n">
        <v>159</v>
      </c>
      <c r="K135" s="245" t="s">
        <v>62</v>
      </c>
      <c r="L135" s="246" t="n">
        <f aca="false">IF(J135="",0,(J135/J139)*100)</f>
        <v>100</v>
      </c>
      <c r="M135" s="245" t="n">
        <v>1</v>
      </c>
      <c r="N135" s="247" t="n">
        <v>6</v>
      </c>
      <c r="O135" s="116" t="n">
        <f aca="false">IF(M135=1,1,0)</f>
        <v>1</v>
      </c>
      <c r="P135" s="117" t="n">
        <f aca="false">IF(M135=2,1,0)</f>
        <v>0</v>
      </c>
      <c r="Q135" s="117" t="n">
        <f aca="false">IF(M135=3,1,0)</f>
        <v>0</v>
      </c>
      <c r="R135" s="118" t="n">
        <f aca="false">IF(M135=4,1,0)</f>
        <v>0</v>
      </c>
      <c r="S135" s="119"/>
      <c r="T135" s="106"/>
      <c r="U135" s="56"/>
    </row>
    <row r="136" customFormat="false" ht="20.1" hidden="false" customHeight="true" outlineLevel="0" collapsed="false">
      <c r="B136" s="56"/>
      <c r="C136" s="106"/>
      <c r="D136" s="106"/>
      <c r="E136" s="77" t="s">
        <v>24</v>
      </c>
      <c r="F136" s="29" t="s">
        <v>25</v>
      </c>
      <c r="G136" s="248" t="n">
        <v>2</v>
      </c>
      <c r="H136" s="248" t="s">
        <v>408</v>
      </c>
      <c r="I136" s="248" t="n">
        <v>34</v>
      </c>
      <c r="J136" s="249" t="n">
        <v>141</v>
      </c>
      <c r="K136" s="249" t="s">
        <v>62</v>
      </c>
      <c r="L136" s="250" t="n">
        <f aca="false">IF(J136="",0,(J136/J139)*100)</f>
        <v>88.6792452830189</v>
      </c>
      <c r="M136" s="248" t="n">
        <v>2</v>
      </c>
      <c r="N136" s="251" t="n">
        <v>3</v>
      </c>
      <c r="O136" s="123" t="n">
        <f aca="false">IF(M136=1,1,0)</f>
        <v>0</v>
      </c>
      <c r="P136" s="124" t="n">
        <f aca="false">IF(M136=2,1,0)</f>
        <v>1</v>
      </c>
      <c r="Q136" s="124" t="n">
        <f aca="false">IF(M136=3,1,0)</f>
        <v>0</v>
      </c>
      <c r="R136" s="125" t="n">
        <f aca="false">IF(M136=4,1,0)</f>
        <v>0</v>
      </c>
      <c r="S136" s="119"/>
      <c r="T136" s="106"/>
      <c r="U136" s="56"/>
    </row>
    <row r="137" customFormat="false" ht="20.1" hidden="false" customHeight="true" outlineLevel="0" collapsed="false">
      <c r="B137" s="56"/>
      <c r="C137" s="106"/>
      <c r="D137" s="106"/>
      <c r="E137" s="331" t="s">
        <v>159</v>
      </c>
      <c r="F137" s="29" t="s">
        <v>160</v>
      </c>
      <c r="G137" s="248" t="n">
        <v>3</v>
      </c>
      <c r="H137" s="248" t="s">
        <v>409</v>
      </c>
      <c r="I137" s="248" t="n">
        <v>28</v>
      </c>
      <c r="J137" s="249" t="n">
        <v>139</v>
      </c>
      <c r="K137" s="248" t="s">
        <v>62</v>
      </c>
      <c r="L137" s="250" t="n">
        <f aca="false">IF(J137="",0,(J137/J139)*100)</f>
        <v>87.4213836477987</v>
      </c>
      <c r="M137" s="248" t="n">
        <v>3</v>
      </c>
      <c r="N137" s="251" t="n">
        <v>1</v>
      </c>
      <c r="O137" s="123" t="n">
        <f aca="false">IF(M137=1,1,0)</f>
        <v>0</v>
      </c>
      <c r="P137" s="124" t="n">
        <f aca="false">IF(M137=2,1,0)</f>
        <v>0</v>
      </c>
      <c r="Q137" s="124" t="n">
        <f aca="false">IF(M137=3,1,0)</f>
        <v>1</v>
      </c>
      <c r="R137" s="125" t="n">
        <f aca="false">IF(M137=4,1,0)</f>
        <v>0</v>
      </c>
      <c r="S137" s="119"/>
      <c r="T137" s="106"/>
      <c r="U137" s="56"/>
    </row>
    <row r="138" customFormat="false" ht="20.1" hidden="false" customHeight="true" outlineLevel="0" collapsed="false">
      <c r="B138" s="56"/>
      <c r="C138" s="106"/>
      <c r="D138" s="106"/>
      <c r="E138" s="236" t="s">
        <v>35</v>
      </c>
      <c r="F138" s="39" t="s">
        <v>36</v>
      </c>
      <c r="G138" s="253" t="n">
        <v>1</v>
      </c>
      <c r="H138" s="254" t="s">
        <v>410</v>
      </c>
      <c r="I138" s="253" t="n">
        <v>36</v>
      </c>
      <c r="J138" s="254" t="n">
        <v>109</v>
      </c>
      <c r="K138" s="254" t="s">
        <v>62</v>
      </c>
      <c r="L138" s="255" t="n">
        <f aca="false">IF(J138="",0,(J138/J139)*100)</f>
        <v>68.5534591194969</v>
      </c>
      <c r="M138" s="253" t="n">
        <v>4</v>
      </c>
      <c r="N138" s="256" t="n">
        <v>0</v>
      </c>
      <c r="O138" s="135" t="n">
        <f aca="false">IF(M138=1,1,0)</f>
        <v>0</v>
      </c>
      <c r="P138" s="136" t="n">
        <f aca="false">IF(M138=2,1,0)</f>
        <v>0</v>
      </c>
      <c r="Q138" s="136" t="n">
        <f aca="false">IF(M138=3,1,0)</f>
        <v>0</v>
      </c>
      <c r="R138" s="137" t="n">
        <f aca="false">IF(M138=4,1,0)</f>
        <v>1</v>
      </c>
      <c r="S138" s="119"/>
      <c r="T138" s="106"/>
      <c r="U138" s="56"/>
    </row>
    <row r="139" customFormat="false" ht="20.1" hidden="true" customHeight="true" outlineLevel="1" collapsed="false">
      <c r="B139" s="56"/>
      <c r="C139" s="106"/>
      <c r="D139" s="131"/>
      <c r="E139" s="131"/>
      <c r="F139" s="139"/>
      <c r="G139" s="139"/>
      <c r="H139" s="106"/>
      <c r="I139" s="170" t="s">
        <v>94</v>
      </c>
      <c r="J139" s="141" t="n">
        <f aca="false">MAX(J135:J138)</f>
        <v>159</v>
      </c>
      <c r="K139" s="257"/>
      <c r="L139" s="147"/>
      <c r="M139" s="106"/>
      <c r="N139" s="144" t="s">
        <v>95</v>
      </c>
      <c r="O139" s="145" t="n">
        <f aca="false">SUM(O135:O138)</f>
        <v>1</v>
      </c>
      <c r="P139" s="146" t="n">
        <f aca="false">SUM(P135:P138)</f>
        <v>1</v>
      </c>
      <c r="Q139" s="145" t="n">
        <f aca="false">SUM(Q135:Q138)</f>
        <v>1</v>
      </c>
      <c r="R139" s="158" t="n">
        <f aca="false">SUM(R135:R138)</f>
        <v>1</v>
      </c>
      <c r="S139" s="147"/>
      <c r="T139" s="106"/>
      <c r="U139" s="56"/>
    </row>
    <row r="140" customFormat="false" ht="20.1" hidden="false" customHeight="true" outlineLevel="0" collapsed="false">
      <c r="B140" s="56"/>
      <c r="C140" s="106"/>
      <c r="D140" s="106"/>
      <c r="E140" s="106"/>
      <c r="F140" s="106"/>
      <c r="G140" s="106"/>
      <c r="H140" s="106"/>
      <c r="I140" s="106"/>
      <c r="J140" s="106"/>
      <c r="K140" s="106"/>
      <c r="L140" s="106"/>
      <c r="M140" s="106"/>
      <c r="N140" s="106"/>
      <c r="O140" s="106"/>
      <c r="P140" s="106"/>
      <c r="Q140" s="106"/>
      <c r="R140" s="106"/>
      <c r="S140" s="106"/>
      <c r="T140" s="106"/>
      <c r="U140" s="56"/>
    </row>
    <row r="141" customFormat="false" ht="20.1" hidden="false" customHeight="true" outlineLevel="0" collapsed="false">
      <c r="B141" s="56"/>
      <c r="U141" s="56"/>
    </row>
    <row r="142" customFormat="false" ht="20.1" hidden="false" customHeight="true" outlineLevel="0" collapsed="false">
      <c r="B142" s="56"/>
      <c r="C142" s="149"/>
      <c r="D142" s="149"/>
      <c r="E142" s="150" t="str">
        <f aca="false">IF(OR(M127="-",M127= ""),H127,M127)</f>
        <v>Dungeon Petz</v>
      </c>
      <c r="F142" s="150"/>
      <c r="G142" s="150"/>
      <c r="H142" s="150"/>
      <c r="I142" s="150"/>
      <c r="J142" s="150"/>
      <c r="K142" s="150"/>
      <c r="L142" s="150"/>
      <c r="M142" s="150"/>
      <c r="N142" s="150"/>
      <c r="O142" s="151"/>
      <c r="P142" s="151"/>
      <c r="Q142" s="151"/>
      <c r="R142" s="151"/>
      <c r="S142" s="151"/>
      <c r="T142" s="149"/>
      <c r="U142" s="56"/>
    </row>
    <row r="143" customFormat="false" ht="50.1" hidden="false" customHeight="true" outlineLevel="0" collapsed="false">
      <c r="B143" s="56"/>
      <c r="C143" s="149"/>
      <c r="D143" s="151"/>
      <c r="E143" s="59" t="s">
        <v>48</v>
      </c>
      <c r="F143" s="109" t="s">
        <v>80</v>
      </c>
      <c r="G143" s="61" t="s">
        <v>81</v>
      </c>
      <c r="H143" s="60" t="s">
        <v>82</v>
      </c>
      <c r="I143" s="6" t="s">
        <v>83</v>
      </c>
      <c r="J143" s="60" t="s">
        <v>84</v>
      </c>
      <c r="K143" s="110" t="s">
        <v>85</v>
      </c>
      <c r="L143" s="60" t="s">
        <v>86</v>
      </c>
      <c r="M143" s="111" t="s">
        <v>87</v>
      </c>
      <c r="N143" s="61" t="s">
        <v>88</v>
      </c>
      <c r="O143" s="112" t="s">
        <v>89</v>
      </c>
      <c r="P143" s="113" t="s">
        <v>90</v>
      </c>
      <c r="Q143" s="113" t="s">
        <v>91</v>
      </c>
      <c r="R143" s="12" t="s">
        <v>92</v>
      </c>
      <c r="S143" s="151"/>
      <c r="T143" s="149"/>
      <c r="U143" s="56"/>
    </row>
    <row r="144" customFormat="false" ht="20.1" hidden="false" customHeight="true" outlineLevel="0" collapsed="false">
      <c r="B144" s="56"/>
      <c r="C144" s="149"/>
      <c r="D144" s="153"/>
      <c r="E144" s="387" t="s">
        <v>37</v>
      </c>
      <c r="F144" s="244" t="s">
        <v>38</v>
      </c>
      <c r="G144" s="245" t="n">
        <v>1</v>
      </c>
      <c r="H144" s="245" t="s">
        <v>62</v>
      </c>
      <c r="I144" s="245" t="n">
        <v>0</v>
      </c>
      <c r="J144" s="245" t="n">
        <v>71</v>
      </c>
      <c r="K144" s="245" t="s">
        <v>62</v>
      </c>
      <c r="L144" s="246" t="n">
        <f aca="false">IF(J144="",0,(J144/J148)*100)</f>
        <v>100</v>
      </c>
      <c r="M144" s="245" t="n">
        <v>1</v>
      </c>
      <c r="N144" s="247" t="n">
        <v>6</v>
      </c>
      <c r="O144" s="116" t="n">
        <f aca="false">IF(M144=1,1,0)</f>
        <v>1</v>
      </c>
      <c r="P144" s="117" t="n">
        <f aca="false">IF(M144=2,1,0)</f>
        <v>0</v>
      </c>
      <c r="Q144" s="117" t="n">
        <f aca="false">IF(M144=3,1,0)</f>
        <v>0</v>
      </c>
      <c r="R144" s="118" t="n">
        <f aca="false">IF(M144=4,1,0)</f>
        <v>0</v>
      </c>
      <c r="S144" s="152"/>
      <c r="T144" s="149"/>
      <c r="U144" s="56"/>
    </row>
    <row r="145" customFormat="false" ht="20.1" hidden="false" customHeight="true" outlineLevel="0" collapsed="false">
      <c r="B145" s="56"/>
      <c r="C145" s="149"/>
      <c r="D145" s="149"/>
      <c r="E145" s="77" t="s">
        <v>24</v>
      </c>
      <c r="F145" s="29" t="s">
        <v>25</v>
      </c>
      <c r="G145" s="248" t="n">
        <v>4</v>
      </c>
      <c r="H145" s="248" t="s">
        <v>62</v>
      </c>
      <c r="I145" s="248" t="n">
        <v>0</v>
      </c>
      <c r="J145" s="249" t="n">
        <v>61</v>
      </c>
      <c r="K145" s="249" t="s">
        <v>62</v>
      </c>
      <c r="L145" s="250" t="n">
        <f aca="false">IF(J145="",0,(J145/J148)*100)</f>
        <v>85.9154929577465</v>
      </c>
      <c r="M145" s="248" t="n">
        <v>3</v>
      </c>
      <c r="N145" s="251" t="n">
        <v>1</v>
      </c>
      <c r="O145" s="123" t="n">
        <f aca="false">IF(M145=1,1,0)</f>
        <v>0</v>
      </c>
      <c r="P145" s="124" t="n">
        <f aca="false">IF(M145=2,1,0)</f>
        <v>0</v>
      </c>
      <c r="Q145" s="124" t="n">
        <f aca="false">IF(M145=3,1,0)</f>
        <v>1</v>
      </c>
      <c r="R145" s="125" t="n">
        <f aca="false">IF(M145=4,1,0)</f>
        <v>0</v>
      </c>
      <c r="S145" s="152"/>
      <c r="T145" s="149"/>
      <c r="U145" s="56"/>
    </row>
    <row r="146" customFormat="false" ht="20.1" hidden="false" customHeight="true" outlineLevel="0" collapsed="false">
      <c r="B146" s="56"/>
      <c r="C146" s="149"/>
      <c r="D146" s="153"/>
      <c r="E146" s="331" t="s">
        <v>159</v>
      </c>
      <c r="F146" s="29" t="s">
        <v>160</v>
      </c>
      <c r="G146" s="248" t="n">
        <v>3</v>
      </c>
      <c r="H146" s="248" t="s">
        <v>62</v>
      </c>
      <c r="I146" s="248" t="n">
        <v>0</v>
      </c>
      <c r="J146" s="249" t="n">
        <v>70</v>
      </c>
      <c r="K146" s="248" t="s">
        <v>62</v>
      </c>
      <c r="L146" s="250" t="n">
        <f aca="false">IF(J146="",0,(J146/J148)*100)</f>
        <v>98.5915492957747</v>
      </c>
      <c r="M146" s="248" t="n">
        <v>2</v>
      </c>
      <c r="N146" s="251" t="n">
        <v>3</v>
      </c>
      <c r="O146" s="123" t="n">
        <f aca="false">IF(M146=1,1,0)</f>
        <v>0</v>
      </c>
      <c r="P146" s="124" t="n">
        <f aca="false">IF(M146=2,1,0)</f>
        <v>1</v>
      </c>
      <c r="Q146" s="124" t="n">
        <f aca="false">IF(M146=3,1,0)</f>
        <v>0</v>
      </c>
      <c r="R146" s="125" t="n">
        <f aca="false">IF(M146=4,1,0)</f>
        <v>0</v>
      </c>
      <c r="S146" s="152"/>
      <c r="T146" s="149"/>
      <c r="U146" s="56"/>
    </row>
    <row r="147" customFormat="false" ht="20.1" hidden="false" customHeight="true" outlineLevel="0" collapsed="false">
      <c r="B147" s="56"/>
      <c r="C147" s="149"/>
      <c r="D147" s="149"/>
      <c r="E147" s="236" t="s">
        <v>35</v>
      </c>
      <c r="F147" s="39" t="s">
        <v>36</v>
      </c>
      <c r="G147" s="253" t="n">
        <v>2</v>
      </c>
      <c r="H147" s="254" t="s">
        <v>62</v>
      </c>
      <c r="I147" s="253" t="n">
        <v>0</v>
      </c>
      <c r="J147" s="254" t="n">
        <v>50</v>
      </c>
      <c r="K147" s="254" t="s">
        <v>62</v>
      </c>
      <c r="L147" s="255" t="n">
        <f aca="false">IF(J147="",0,(J147/J148)*100)</f>
        <v>70.4225352112676</v>
      </c>
      <c r="M147" s="253" t="n">
        <v>4</v>
      </c>
      <c r="N147" s="256" t="n">
        <v>0</v>
      </c>
      <c r="O147" s="135" t="n">
        <f aca="false">IF(M147=1,1,0)</f>
        <v>0</v>
      </c>
      <c r="P147" s="136" t="n">
        <f aca="false">IF(M147=2,1,0)</f>
        <v>0</v>
      </c>
      <c r="Q147" s="136" t="n">
        <f aca="false">IF(M147=3,1,0)</f>
        <v>0</v>
      </c>
      <c r="R147" s="137" t="n">
        <f aca="false">IF(M147=4,1,0)</f>
        <v>1</v>
      </c>
      <c r="S147" s="152"/>
      <c r="T147" s="149"/>
      <c r="U147" s="56"/>
    </row>
    <row r="148" customFormat="false" ht="20.1" hidden="true" customHeight="true" outlineLevel="1" collapsed="false">
      <c r="B148" s="56"/>
      <c r="C148" s="149"/>
      <c r="D148" s="149"/>
      <c r="E148" s="149"/>
      <c r="F148" s="155"/>
      <c r="G148" s="155"/>
      <c r="H148" s="149"/>
      <c r="I148" s="170" t="s">
        <v>94</v>
      </c>
      <c r="J148" s="141" t="n">
        <f aca="false">MAX(J144:J147)</f>
        <v>71</v>
      </c>
      <c r="K148" s="157"/>
      <c r="L148" s="152"/>
      <c r="M148" s="149"/>
      <c r="N148" s="144" t="s">
        <v>95</v>
      </c>
      <c r="O148" s="145" t="n">
        <f aca="false">SUM(O144:O147)</f>
        <v>1</v>
      </c>
      <c r="P148" s="146" t="n">
        <f aca="false">SUM(P144:P147)</f>
        <v>1</v>
      </c>
      <c r="Q148" s="145" t="n">
        <f aca="false">SUM(Q144:Q147)</f>
        <v>1</v>
      </c>
      <c r="R148" s="158" t="n">
        <f aca="false">SUM(R144:R147)</f>
        <v>1</v>
      </c>
      <c r="S148" s="159"/>
      <c r="T148" s="149"/>
      <c r="U148" s="56"/>
    </row>
    <row r="149" customFormat="false" ht="20.1" hidden="false" customHeight="true" outlineLevel="0" collapsed="false">
      <c r="B149" s="56"/>
      <c r="C149" s="149"/>
      <c r="D149" s="149"/>
      <c r="E149" s="149"/>
      <c r="F149" s="149"/>
      <c r="G149" s="149"/>
      <c r="H149" s="149"/>
      <c r="I149" s="149"/>
      <c r="J149" s="149"/>
      <c r="K149" s="149"/>
      <c r="L149" s="149"/>
      <c r="M149" s="149"/>
      <c r="N149" s="149"/>
      <c r="O149" s="149"/>
      <c r="P149" s="149"/>
      <c r="Q149" s="149"/>
      <c r="R149" s="149"/>
      <c r="S149" s="149"/>
      <c r="T149" s="149"/>
      <c r="U149" s="56"/>
    </row>
    <row r="150" customFormat="false" ht="20.1" hidden="false" customHeight="true" outlineLevel="0" collapsed="false">
      <c r="B150" s="56"/>
      <c r="D150" s="45"/>
      <c r="E150" s="45"/>
      <c r="F150" s="45"/>
      <c r="G150" s="45"/>
      <c r="H150" s="160"/>
      <c r="I150" s="45"/>
      <c r="J150" s="45"/>
      <c r="U150" s="56"/>
    </row>
    <row r="151" customFormat="false" ht="20.1" hidden="false" customHeight="true" outlineLevel="0" collapsed="false">
      <c r="B151" s="56"/>
      <c r="C151" s="161"/>
      <c r="D151" s="161"/>
      <c r="E151" s="162" t="str">
        <f aca="false">IF(OR(M129="-",M129= ""),H129,M129)</f>
        <v>Blood Rage</v>
      </c>
      <c r="F151" s="162"/>
      <c r="G151" s="162"/>
      <c r="H151" s="162"/>
      <c r="I151" s="162"/>
      <c r="J151" s="162"/>
      <c r="K151" s="162"/>
      <c r="L151" s="162"/>
      <c r="M151" s="162"/>
      <c r="N151" s="162"/>
      <c r="O151" s="163"/>
      <c r="P151" s="163"/>
      <c r="Q151" s="163"/>
      <c r="R151" s="163"/>
      <c r="S151" s="163"/>
      <c r="T151" s="161"/>
      <c r="U151" s="164"/>
    </row>
    <row r="152" customFormat="false" ht="50.1" hidden="false" customHeight="true" outlineLevel="0" collapsed="false">
      <c r="B152" s="56"/>
      <c r="C152" s="161"/>
      <c r="D152" s="163"/>
      <c r="E152" s="59" t="s">
        <v>48</v>
      </c>
      <c r="F152" s="109" t="s">
        <v>80</v>
      </c>
      <c r="G152" s="61" t="s">
        <v>81</v>
      </c>
      <c r="H152" s="60" t="s">
        <v>82</v>
      </c>
      <c r="I152" s="6" t="s">
        <v>83</v>
      </c>
      <c r="J152" s="60" t="s">
        <v>84</v>
      </c>
      <c r="K152" s="110" t="s">
        <v>85</v>
      </c>
      <c r="L152" s="60" t="s">
        <v>86</v>
      </c>
      <c r="M152" s="111" t="s">
        <v>87</v>
      </c>
      <c r="N152" s="61" t="s">
        <v>88</v>
      </c>
      <c r="O152" s="112" t="s">
        <v>89</v>
      </c>
      <c r="P152" s="113" t="s">
        <v>90</v>
      </c>
      <c r="Q152" s="113" t="s">
        <v>91</v>
      </c>
      <c r="R152" s="12" t="s">
        <v>92</v>
      </c>
      <c r="S152" s="163"/>
      <c r="T152" s="161"/>
      <c r="U152" s="164"/>
    </row>
    <row r="153" customFormat="false" ht="20.1" hidden="false" customHeight="true" outlineLevel="0" collapsed="false">
      <c r="B153" s="56"/>
      <c r="C153" s="161"/>
      <c r="D153" s="167"/>
      <c r="E153" s="303" t="s">
        <v>37</v>
      </c>
      <c r="F153" s="14" t="s">
        <v>38</v>
      </c>
      <c r="G153" s="258" t="n">
        <v>1</v>
      </c>
      <c r="H153" s="258" t="s">
        <v>62</v>
      </c>
      <c r="I153" s="258" t="n">
        <v>0</v>
      </c>
      <c r="J153" s="258" t="n">
        <v>82</v>
      </c>
      <c r="K153" s="258" t="s">
        <v>62</v>
      </c>
      <c r="L153" s="259" t="n">
        <f aca="false">IF(J153="",0,(J153/J157)*100)</f>
        <v>58.5714285714286</v>
      </c>
      <c r="M153" s="258" t="n">
        <v>3</v>
      </c>
      <c r="N153" s="260" t="n">
        <v>1</v>
      </c>
      <c r="O153" s="116" t="n">
        <f aca="false">IF(M153=1,1,0)</f>
        <v>0</v>
      </c>
      <c r="P153" s="117" t="n">
        <f aca="false">IF(M153=2,1,0)</f>
        <v>0</v>
      </c>
      <c r="Q153" s="117" t="n">
        <f aca="false">IF(M153=3,1,0)</f>
        <v>1</v>
      </c>
      <c r="R153" s="118" t="n">
        <f aca="false">IF(M153=4,1,0)</f>
        <v>0</v>
      </c>
      <c r="S153" s="166"/>
      <c r="T153" s="161"/>
      <c r="U153" s="56"/>
    </row>
    <row r="154" customFormat="false" ht="20.1" hidden="false" customHeight="true" outlineLevel="0" collapsed="false">
      <c r="B154" s="56"/>
      <c r="C154" s="161"/>
      <c r="D154" s="161"/>
      <c r="E154" s="77" t="s">
        <v>24</v>
      </c>
      <c r="F154" s="29" t="s">
        <v>25</v>
      </c>
      <c r="G154" s="248" t="n">
        <v>4</v>
      </c>
      <c r="H154" s="248" t="s">
        <v>62</v>
      </c>
      <c r="I154" s="248" t="n">
        <v>0</v>
      </c>
      <c r="J154" s="249" t="n">
        <v>131</v>
      </c>
      <c r="K154" s="249" t="s">
        <v>62</v>
      </c>
      <c r="L154" s="250" t="n">
        <f aca="false">IF(J154="",0,(J154/J157)*100)</f>
        <v>93.5714285714286</v>
      </c>
      <c r="M154" s="248" t="n">
        <v>2</v>
      </c>
      <c r="N154" s="251" t="n">
        <v>3</v>
      </c>
      <c r="O154" s="123" t="n">
        <f aca="false">IF(M154=1,1,0)</f>
        <v>0</v>
      </c>
      <c r="P154" s="124" t="n">
        <f aca="false">IF(M154=2,1,0)</f>
        <v>1</v>
      </c>
      <c r="Q154" s="124" t="n">
        <f aca="false">IF(M154=3,1,0)</f>
        <v>0</v>
      </c>
      <c r="R154" s="125" t="n">
        <f aca="false">IF(M154=4,1,0)</f>
        <v>0</v>
      </c>
      <c r="S154" s="166"/>
      <c r="T154" s="161"/>
      <c r="U154" s="168"/>
    </row>
    <row r="155" customFormat="false" ht="20.1" hidden="false" customHeight="true" outlineLevel="0" collapsed="false">
      <c r="B155" s="56"/>
      <c r="C155" s="161"/>
      <c r="D155" s="161"/>
      <c r="E155" s="331" t="s">
        <v>159</v>
      </c>
      <c r="F155" s="29" t="s">
        <v>160</v>
      </c>
      <c r="G155" s="248" t="n">
        <v>3</v>
      </c>
      <c r="H155" s="248" t="s">
        <v>62</v>
      </c>
      <c r="I155" s="248" t="n">
        <v>0</v>
      </c>
      <c r="J155" s="249" t="n">
        <v>63</v>
      </c>
      <c r="K155" s="248" t="s">
        <v>62</v>
      </c>
      <c r="L155" s="250" t="n">
        <f aca="false">IF(J155="",0,(J155/J157)*100)</f>
        <v>45</v>
      </c>
      <c r="M155" s="248" t="n">
        <v>4</v>
      </c>
      <c r="N155" s="251" t="n">
        <v>0</v>
      </c>
      <c r="O155" s="123" t="n">
        <f aca="false">IF(M155=1,1,0)</f>
        <v>0</v>
      </c>
      <c r="P155" s="124" t="n">
        <f aca="false">IF(M155=2,1,0)</f>
        <v>0</v>
      </c>
      <c r="Q155" s="124" t="n">
        <f aca="false">IF(M155=3,1,0)</f>
        <v>0</v>
      </c>
      <c r="R155" s="125" t="n">
        <f aca="false">IF(M155=4,1,0)</f>
        <v>1</v>
      </c>
      <c r="S155" s="166"/>
      <c r="T155" s="161"/>
      <c r="U155" s="168"/>
    </row>
    <row r="156" customFormat="false" ht="20.1" hidden="false" customHeight="true" outlineLevel="0" collapsed="false">
      <c r="B156" s="56"/>
      <c r="C156" s="161"/>
      <c r="D156" s="161"/>
      <c r="E156" s="340" t="s">
        <v>35</v>
      </c>
      <c r="F156" s="262" t="s">
        <v>36</v>
      </c>
      <c r="G156" s="263" t="n">
        <v>2</v>
      </c>
      <c r="H156" s="264" t="s">
        <v>62</v>
      </c>
      <c r="I156" s="263" t="n">
        <v>0</v>
      </c>
      <c r="J156" s="264" t="n">
        <v>140</v>
      </c>
      <c r="K156" s="264" t="s">
        <v>62</v>
      </c>
      <c r="L156" s="265" t="n">
        <f aca="false">IF(J156="",0,(J156/J157)*100)</f>
        <v>100</v>
      </c>
      <c r="M156" s="263" t="n">
        <v>1</v>
      </c>
      <c r="N156" s="266" t="n">
        <v>6</v>
      </c>
      <c r="O156" s="135" t="n">
        <f aca="false">IF(M156=1,1,0)</f>
        <v>1</v>
      </c>
      <c r="P156" s="136" t="n">
        <f aca="false">IF(M156=2,1,0)</f>
        <v>0</v>
      </c>
      <c r="Q156" s="136" t="n">
        <f aca="false">IF(M156=3,1,0)</f>
        <v>0</v>
      </c>
      <c r="R156" s="137" t="n">
        <f aca="false">IF(M156=4,1,0)</f>
        <v>0</v>
      </c>
      <c r="S156" s="166"/>
      <c r="T156" s="161"/>
      <c r="U156" s="168"/>
    </row>
    <row r="157" customFormat="false" ht="20.1" hidden="true" customHeight="true" outlineLevel="1" collapsed="false">
      <c r="B157" s="56"/>
      <c r="C157" s="161"/>
      <c r="D157" s="161"/>
      <c r="E157" s="161"/>
      <c r="F157" s="169"/>
      <c r="G157" s="169"/>
      <c r="H157" s="161"/>
      <c r="I157" s="170" t="s">
        <v>94</v>
      </c>
      <c r="J157" s="141" t="n">
        <f aca="false">MAX(J153:J156)</f>
        <v>140</v>
      </c>
      <c r="K157" s="171"/>
      <c r="L157" s="166"/>
      <c r="M157" s="161"/>
      <c r="N157" s="144" t="s">
        <v>95</v>
      </c>
      <c r="O157" s="145" t="n">
        <f aca="false">SUM(O153:O156)</f>
        <v>1</v>
      </c>
      <c r="P157" s="146" t="n">
        <f aca="false">SUM(P153:P156)</f>
        <v>1</v>
      </c>
      <c r="Q157" s="145" t="n">
        <f aca="false">SUM(Q153:Q156)</f>
        <v>1</v>
      </c>
      <c r="R157" s="158" t="n">
        <f aca="false">SUM(R153:R156)</f>
        <v>1</v>
      </c>
      <c r="S157" s="172"/>
      <c r="T157" s="161"/>
      <c r="U157" s="168"/>
    </row>
    <row r="158" customFormat="false" ht="20.1" hidden="false" customHeight="true" outlineLevel="0" collapsed="false">
      <c r="B158" s="56"/>
      <c r="C158" s="161"/>
      <c r="D158" s="161"/>
      <c r="E158" s="161"/>
      <c r="F158" s="161"/>
      <c r="G158" s="161"/>
      <c r="H158" s="161"/>
      <c r="I158" s="161"/>
      <c r="J158" s="161"/>
      <c r="K158" s="161"/>
      <c r="L158" s="161"/>
      <c r="M158" s="161"/>
      <c r="N158" s="161"/>
      <c r="O158" s="161"/>
      <c r="P158" s="161"/>
      <c r="Q158" s="161"/>
      <c r="R158" s="161"/>
      <c r="S158" s="161"/>
      <c r="T158" s="161"/>
      <c r="U158" s="168"/>
    </row>
    <row r="159" customFormat="false" ht="20.1" hidden="false" customHeight="true" outlineLevel="0" collapsed="false">
      <c r="B159" s="56"/>
      <c r="D159" s="45"/>
      <c r="E159" s="45"/>
      <c r="F159" s="45"/>
      <c r="G159" s="45"/>
      <c r="H159" s="160"/>
      <c r="I159" s="45"/>
      <c r="J159" s="45"/>
      <c r="K159" s="45"/>
      <c r="U159" s="56"/>
    </row>
    <row r="160" customFormat="false" ht="20.1" hidden="false" customHeight="true" outlineLevel="0" collapsed="false">
      <c r="B160" s="56"/>
      <c r="C160" s="173"/>
      <c r="D160" s="173"/>
      <c r="E160" s="174" t="str">
        <f aca="false">IF(OR(L130="-",L130= ""),H130,L130)</f>
        <v>Through the Ages: Eine neue Geschichte der Zivilisation</v>
      </c>
      <c r="F160" s="174"/>
      <c r="G160" s="174"/>
      <c r="H160" s="174"/>
      <c r="I160" s="174"/>
      <c r="J160" s="174"/>
      <c r="K160" s="174"/>
      <c r="L160" s="174"/>
      <c r="M160" s="174"/>
      <c r="N160" s="174"/>
      <c r="O160" s="175"/>
      <c r="P160" s="175"/>
      <c r="Q160" s="175"/>
      <c r="R160" s="175"/>
      <c r="S160" s="175"/>
      <c r="T160" s="173"/>
      <c r="U160" s="56"/>
    </row>
    <row r="161" customFormat="false" ht="50.1" hidden="false" customHeight="true" outlineLevel="0" collapsed="false">
      <c r="B161" s="56"/>
      <c r="C161" s="173"/>
      <c r="D161" s="175"/>
      <c r="E161" s="59" t="s">
        <v>48</v>
      </c>
      <c r="F161" s="109" t="s">
        <v>80</v>
      </c>
      <c r="G161" s="61" t="s">
        <v>81</v>
      </c>
      <c r="H161" s="60" t="s">
        <v>82</v>
      </c>
      <c r="I161" s="6" t="s">
        <v>83</v>
      </c>
      <c r="J161" s="60" t="s">
        <v>84</v>
      </c>
      <c r="K161" s="110" t="s">
        <v>85</v>
      </c>
      <c r="L161" s="60" t="s">
        <v>86</v>
      </c>
      <c r="M161" s="111" t="s">
        <v>87</v>
      </c>
      <c r="N161" s="61" t="s">
        <v>88</v>
      </c>
      <c r="O161" s="112" t="s">
        <v>89</v>
      </c>
      <c r="P161" s="113" t="s">
        <v>90</v>
      </c>
      <c r="Q161" s="113" t="s">
        <v>91</v>
      </c>
      <c r="R161" s="12" t="s">
        <v>92</v>
      </c>
      <c r="S161" s="175"/>
      <c r="T161" s="173"/>
      <c r="U161" s="56"/>
    </row>
    <row r="162" customFormat="false" ht="20.1" hidden="false" customHeight="true" outlineLevel="0" collapsed="false">
      <c r="B162" s="56"/>
      <c r="C162" s="173"/>
      <c r="D162" s="173"/>
      <c r="E162" s="387" t="s">
        <v>37</v>
      </c>
      <c r="F162" s="244" t="s">
        <v>38</v>
      </c>
      <c r="G162" s="245" t="n">
        <v>4</v>
      </c>
      <c r="H162" s="245" t="s">
        <v>62</v>
      </c>
      <c r="I162" s="245" t="n">
        <v>0</v>
      </c>
      <c r="J162" s="245" t="n">
        <v>204</v>
      </c>
      <c r="K162" s="245" t="s">
        <v>62</v>
      </c>
      <c r="L162" s="246" t="n">
        <f aca="false">IF(J162="",0,(J162/J166)*100)</f>
        <v>100</v>
      </c>
      <c r="M162" s="245" t="n">
        <v>1</v>
      </c>
      <c r="N162" s="247" t="n">
        <v>6</v>
      </c>
      <c r="O162" s="116" t="n">
        <f aca="false">IF(M162=1,1,0)</f>
        <v>1</v>
      </c>
      <c r="P162" s="117" t="n">
        <f aca="false">IF(M162=2,1,0)</f>
        <v>0</v>
      </c>
      <c r="Q162" s="117" t="n">
        <f aca="false">IF(M162=3,1,0)</f>
        <v>0</v>
      </c>
      <c r="R162" s="118" t="n">
        <f aca="false">IF(M162=4,1,0)</f>
        <v>0</v>
      </c>
      <c r="S162" s="176"/>
      <c r="T162" s="173"/>
      <c r="U162" s="56"/>
    </row>
    <row r="163" customFormat="false" ht="20.1" hidden="false" customHeight="true" outlineLevel="0" collapsed="false">
      <c r="B163" s="56"/>
      <c r="C163" s="173"/>
      <c r="D163" s="173"/>
      <c r="E163" s="77" t="s">
        <v>24</v>
      </c>
      <c r="F163" s="29" t="s">
        <v>25</v>
      </c>
      <c r="G163" s="248" t="n">
        <v>1</v>
      </c>
      <c r="H163" s="248" t="s">
        <v>62</v>
      </c>
      <c r="I163" s="248" t="n">
        <v>0</v>
      </c>
      <c r="J163" s="249" t="n">
        <v>145</v>
      </c>
      <c r="K163" s="249" t="s">
        <v>62</v>
      </c>
      <c r="L163" s="250" t="n">
        <f aca="false">IF(J163="",0,(J163/J166)*100)</f>
        <v>71.078431372549</v>
      </c>
      <c r="M163" s="248" t="n">
        <v>2</v>
      </c>
      <c r="N163" s="251" t="n">
        <v>3</v>
      </c>
      <c r="O163" s="123" t="n">
        <f aca="false">IF(M163=1,1,0)</f>
        <v>0</v>
      </c>
      <c r="P163" s="124" t="n">
        <f aca="false">IF(M163=2,1,0)</f>
        <v>1</v>
      </c>
      <c r="Q163" s="124" t="n">
        <f aca="false">IF(M163=3,1,0)</f>
        <v>0</v>
      </c>
      <c r="R163" s="125" t="n">
        <f aca="false">IF(M163=4,1,0)</f>
        <v>0</v>
      </c>
      <c r="S163" s="176"/>
      <c r="T163" s="173"/>
      <c r="U163" s="56"/>
    </row>
    <row r="164" customFormat="false" ht="20.1" hidden="false" customHeight="true" outlineLevel="0" collapsed="false">
      <c r="B164" s="56"/>
      <c r="C164" s="173"/>
      <c r="D164" s="173"/>
      <c r="E164" s="331" t="s">
        <v>159</v>
      </c>
      <c r="F164" s="29" t="s">
        <v>160</v>
      </c>
      <c r="G164" s="248" t="n">
        <v>3</v>
      </c>
      <c r="H164" s="248" t="s">
        <v>62</v>
      </c>
      <c r="I164" s="248" t="n">
        <v>0</v>
      </c>
      <c r="J164" s="249" t="n">
        <v>89</v>
      </c>
      <c r="K164" s="248" t="s">
        <v>62</v>
      </c>
      <c r="L164" s="250" t="n">
        <f aca="false">IF(J164="",0,(J164/J166)*100)</f>
        <v>43.6274509803922</v>
      </c>
      <c r="M164" s="248" t="n">
        <v>4</v>
      </c>
      <c r="N164" s="251" t="n">
        <v>0</v>
      </c>
      <c r="O164" s="123" t="n">
        <f aca="false">IF(M164=1,1,0)</f>
        <v>0</v>
      </c>
      <c r="P164" s="124" t="n">
        <f aca="false">IF(M164=2,1,0)</f>
        <v>0</v>
      </c>
      <c r="Q164" s="124" t="n">
        <f aca="false">IF(M164=3,1,0)</f>
        <v>0</v>
      </c>
      <c r="R164" s="125" t="n">
        <f aca="false">IF(M164=4,1,0)</f>
        <v>1</v>
      </c>
      <c r="S164" s="176"/>
      <c r="T164" s="173"/>
      <c r="U164" s="56"/>
    </row>
    <row r="165" customFormat="false" ht="20.1" hidden="false" customHeight="true" outlineLevel="0" collapsed="false">
      <c r="B165" s="56"/>
      <c r="C165" s="173"/>
      <c r="D165" s="177"/>
      <c r="E165" s="236" t="s">
        <v>35</v>
      </c>
      <c r="F165" s="39" t="s">
        <v>36</v>
      </c>
      <c r="G165" s="253" t="n">
        <v>2</v>
      </c>
      <c r="H165" s="254" t="s">
        <v>62</v>
      </c>
      <c r="I165" s="253" t="n">
        <v>0</v>
      </c>
      <c r="J165" s="254" t="n">
        <v>129</v>
      </c>
      <c r="K165" s="254" t="s">
        <v>62</v>
      </c>
      <c r="L165" s="255" t="n">
        <f aca="false">IF(J165="",0,(J165/J166)*100)</f>
        <v>63.2352941176471</v>
      </c>
      <c r="M165" s="253" t="n">
        <v>3</v>
      </c>
      <c r="N165" s="256" t="n">
        <v>1</v>
      </c>
      <c r="O165" s="135" t="n">
        <f aca="false">IF(M165=1,1,0)</f>
        <v>0</v>
      </c>
      <c r="P165" s="136" t="n">
        <f aca="false">IF(M165=2,1,0)</f>
        <v>0</v>
      </c>
      <c r="Q165" s="136" t="n">
        <f aca="false">IF(M165=3,1,0)</f>
        <v>1</v>
      </c>
      <c r="R165" s="137" t="n">
        <f aca="false">IF(M165=4,1,0)</f>
        <v>0</v>
      </c>
      <c r="S165" s="176"/>
      <c r="T165" s="173"/>
      <c r="U165" s="56"/>
    </row>
    <row r="166" customFormat="false" ht="20.1" hidden="true" customHeight="true" outlineLevel="1" collapsed="false">
      <c r="B166" s="56"/>
      <c r="C166" s="173"/>
      <c r="D166" s="173"/>
      <c r="E166" s="173"/>
      <c r="F166" s="178"/>
      <c r="G166" s="178"/>
      <c r="H166" s="173"/>
      <c r="I166" s="170" t="s">
        <v>94</v>
      </c>
      <c r="J166" s="141" t="n">
        <f aca="false">MAX(J162:J165)</f>
        <v>204</v>
      </c>
      <c r="K166" s="179"/>
      <c r="L166" s="176"/>
      <c r="M166" s="173"/>
      <c r="N166" s="144" t="s">
        <v>95</v>
      </c>
      <c r="O166" s="145" t="n">
        <f aca="false">SUM(O162:O165)</f>
        <v>1</v>
      </c>
      <c r="P166" s="146" t="n">
        <f aca="false">SUM(P162:P165)</f>
        <v>1</v>
      </c>
      <c r="Q166" s="145" t="n">
        <f aca="false">SUM(Q162:Q165)</f>
        <v>1</v>
      </c>
      <c r="R166" s="158" t="n">
        <f aca="false">SUM(R162:R165)</f>
        <v>1</v>
      </c>
      <c r="S166" s="180"/>
      <c r="T166" s="173"/>
      <c r="U166" s="56"/>
    </row>
    <row r="167" customFormat="false" ht="20.1" hidden="false" customHeight="true" outlineLevel="0" collapsed="false">
      <c r="B167" s="56"/>
      <c r="C167" s="173"/>
      <c r="D167" s="173"/>
      <c r="E167" s="173"/>
      <c r="F167" s="173"/>
      <c r="G167" s="173"/>
      <c r="H167" s="173"/>
      <c r="I167" s="173"/>
      <c r="J167" s="173"/>
      <c r="K167" s="173"/>
      <c r="L167" s="173"/>
      <c r="M167" s="173"/>
      <c r="N167" s="173"/>
      <c r="O167" s="173"/>
      <c r="P167" s="173"/>
      <c r="Q167" s="173"/>
      <c r="R167" s="173"/>
      <c r="S167" s="173"/>
      <c r="T167" s="173"/>
      <c r="U167" s="56"/>
    </row>
    <row r="168" customFormat="false" ht="20.1" hidden="false" customHeight="true" outlineLevel="0" collapsed="false">
      <c r="B168" s="56"/>
      <c r="D168" s="5"/>
      <c r="E168" s="5"/>
      <c r="F168" s="5"/>
      <c r="G168" s="5"/>
      <c r="H168" s="5"/>
      <c r="I168" s="5"/>
      <c r="J168" s="5"/>
      <c r="U168" s="56"/>
    </row>
    <row r="169" customFormat="false" ht="30" hidden="false" customHeight="true" outlineLevel="0" collapsed="false">
      <c r="B169" s="56"/>
      <c r="C169" s="181"/>
      <c r="D169" s="182" t="s">
        <v>133</v>
      </c>
      <c r="E169" s="182"/>
      <c r="F169" s="182"/>
      <c r="G169" s="182"/>
      <c r="H169" s="182"/>
      <c r="I169" s="182"/>
      <c r="J169" s="182"/>
      <c r="K169" s="182"/>
      <c r="L169" s="182"/>
      <c r="M169" s="182"/>
      <c r="N169" s="182"/>
      <c r="O169" s="182"/>
      <c r="P169" s="182"/>
      <c r="Q169" s="182"/>
      <c r="R169" s="182"/>
      <c r="S169" s="182"/>
      <c r="T169" s="181"/>
      <c r="U169" s="56"/>
    </row>
    <row r="170" customFormat="false" ht="50.1" hidden="false" customHeight="true" outlineLevel="0" collapsed="false">
      <c r="B170" s="56"/>
      <c r="C170" s="181"/>
      <c r="D170" s="183" t="s">
        <v>48</v>
      </c>
      <c r="E170" s="184" t="s">
        <v>49</v>
      </c>
      <c r="F170" s="185" t="s">
        <v>88</v>
      </c>
      <c r="G170" s="186" t="s">
        <v>101</v>
      </c>
      <c r="H170" s="187" t="s">
        <v>102</v>
      </c>
      <c r="I170" s="187"/>
      <c r="J170" s="188" t="s">
        <v>103</v>
      </c>
      <c r="K170" s="189" t="s">
        <v>104</v>
      </c>
      <c r="L170" s="185" t="s">
        <v>105</v>
      </c>
      <c r="M170" s="189" t="s">
        <v>106</v>
      </c>
      <c r="N170" s="185" t="s">
        <v>107</v>
      </c>
      <c r="O170" s="190"/>
      <c r="P170" s="191"/>
      <c r="Q170" s="191"/>
      <c r="R170" s="191"/>
      <c r="S170" s="184" t="s">
        <v>108</v>
      </c>
      <c r="T170" s="181"/>
      <c r="U170" s="56"/>
    </row>
    <row r="171" customFormat="false" ht="20.1" hidden="false" customHeight="true" outlineLevel="0" collapsed="false">
      <c r="B171" s="56"/>
      <c r="C171" s="181"/>
      <c r="D171" s="267" t="s">
        <v>37</v>
      </c>
      <c r="E171" s="268" t="s">
        <v>38</v>
      </c>
      <c r="F171" s="269" t="n">
        <f aca="false">K171*6+L171*3+M171*1+N171*0</f>
        <v>19</v>
      </c>
      <c r="G171" s="270" t="n">
        <v>0</v>
      </c>
      <c r="H171" s="270" t="s">
        <v>62</v>
      </c>
      <c r="I171" s="270"/>
      <c r="J171" s="269" t="n">
        <f aca="false">F171+G171</f>
        <v>19</v>
      </c>
      <c r="K171" s="269" t="n">
        <v>3</v>
      </c>
      <c r="L171" s="269" t="n">
        <v>0</v>
      </c>
      <c r="M171" s="269" t="n">
        <v>1</v>
      </c>
      <c r="N171" s="269" t="n">
        <v>0</v>
      </c>
      <c r="O171" s="271"/>
      <c r="P171" s="270"/>
      <c r="Q171" s="270"/>
      <c r="R171" s="270"/>
      <c r="S171" s="272" t="n">
        <f aca="false">(L135++L144+L153+L162)/4</f>
        <v>89.6428571428571</v>
      </c>
      <c r="T171" s="181"/>
      <c r="U171" s="56"/>
    </row>
    <row r="172" customFormat="false" ht="20.1" hidden="false" customHeight="true" outlineLevel="0" collapsed="false">
      <c r="B172" s="56"/>
      <c r="C172" s="181"/>
      <c r="D172" s="273" t="s">
        <v>24</v>
      </c>
      <c r="E172" s="274" t="s">
        <v>25</v>
      </c>
      <c r="F172" s="275" t="n">
        <f aca="false">K172*6+L172*3+M172*1+N172*0</f>
        <v>10</v>
      </c>
      <c r="G172" s="276" t="n">
        <v>0</v>
      </c>
      <c r="H172" s="276" t="s">
        <v>62</v>
      </c>
      <c r="I172" s="276"/>
      <c r="J172" s="275" t="n">
        <f aca="false">F172+G172</f>
        <v>10</v>
      </c>
      <c r="K172" s="275" t="n">
        <v>0</v>
      </c>
      <c r="L172" s="275" t="n">
        <v>3</v>
      </c>
      <c r="M172" s="275" t="n">
        <v>1</v>
      </c>
      <c r="N172" s="275" t="n">
        <v>0</v>
      </c>
      <c r="O172" s="277"/>
      <c r="P172" s="276"/>
      <c r="Q172" s="276"/>
      <c r="R172" s="276"/>
      <c r="S172" s="278" t="n">
        <f aca="false">(L136+L145+L154+L163)/4</f>
        <v>84.8111495461857</v>
      </c>
      <c r="T172" s="181"/>
      <c r="U172" s="56"/>
      <c r="Y172" s="279"/>
      <c r="Z172" s="279"/>
      <c r="AA172" s="280"/>
      <c r="AB172" s="280"/>
      <c r="AC172" s="281"/>
      <c r="AD172" s="281"/>
      <c r="AE172" s="281"/>
    </row>
    <row r="173" customFormat="false" ht="20.1" hidden="false" customHeight="true" outlineLevel="0" collapsed="false">
      <c r="B173" s="56"/>
      <c r="C173" s="181"/>
      <c r="D173" s="273" t="s">
        <v>35</v>
      </c>
      <c r="E173" s="274" t="s">
        <v>36</v>
      </c>
      <c r="F173" s="275" t="n">
        <f aca="false">K173*6+L173*3+M173*1+N173*0</f>
        <v>7</v>
      </c>
      <c r="G173" s="276" t="n">
        <v>0</v>
      </c>
      <c r="H173" s="276" t="s">
        <v>62</v>
      </c>
      <c r="I173" s="276"/>
      <c r="J173" s="275" t="n">
        <f aca="false">F173+G173</f>
        <v>7</v>
      </c>
      <c r="K173" s="275" t="n">
        <v>1</v>
      </c>
      <c r="L173" s="275" t="n">
        <v>0</v>
      </c>
      <c r="M173" s="275" t="n">
        <v>1</v>
      </c>
      <c r="N173" s="275" t="n">
        <v>2</v>
      </c>
      <c r="O173" s="277"/>
      <c r="P173" s="276"/>
      <c r="Q173" s="276"/>
      <c r="R173" s="276"/>
      <c r="S173" s="278" t="n">
        <f aca="false">(L138+L147+L156+L165)/4</f>
        <v>75.5528221121029</v>
      </c>
      <c r="T173" s="181"/>
      <c r="U173" s="56"/>
    </row>
    <row r="174" customFormat="false" ht="20.1" hidden="false" customHeight="true" outlineLevel="0" collapsed="false">
      <c r="B174" s="56"/>
      <c r="C174" s="181"/>
      <c r="D174" s="282" t="s">
        <v>159</v>
      </c>
      <c r="E174" s="283" t="s">
        <v>160</v>
      </c>
      <c r="F174" s="284" t="n">
        <f aca="false">K174*6+L174*3+M174*1+N174*0</f>
        <v>4</v>
      </c>
      <c r="G174" s="285" t="n">
        <v>0</v>
      </c>
      <c r="H174" s="285" t="s">
        <v>62</v>
      </c>
      <c r="I174" s="285"/>
      <c r="J174" s="284" t="n">
        <f aca="false">F174+G174</f>
        <v>4</v>
      </c>
      <c r="K174" s="284" t="n">
        <v>0</v>
      </c>
      <c r="L174" s="284" t="n">
        <v>1</v>
      </c>
      <c r="M174" s="284" t="n">
        <v>1</v>
      </c>
      <c r="N174" s="284" t="n">
        <v>2</v>
      </c>
      <c r="O174" s="286"/>
      <c r="P174" s="285"/>
      <c r="Q174" s="285"/>
      <c r="R174" s="285"/>
      <c r="S174" s="287" t="n">
        <f aca="false">(L137+L146+L155+L164)/4</f>
        <v>68.6600959809914</v>
      </c>
      <c r="T174" s="181"/>
      <c r="U174" s="56"/>
    </row>
    <row r="175" customFormat="false" ht="20.1" hidden="false" customHeight="true" outlineLevel="0" collapsed="false">
      <c r="B175" s="56"/>
      <c r="C175" s="181"/>
      <c r="D175" s="209"/>
      <c r="E175" s="209"/>
      <c r="F175" s="288"/>
      <c r="G175" s="289"/>
      <c r="H175" s="290"/>
      <c r="I175" s="290"/>
      <c r="J175" s="288"/>
      <c r="K175" s="288"/>
      <c r="L175" s="288"/>
      <c r="M175" s="288"/>
      <c r="N175" s="288"/>
      <c r="O175" s="291"/>
      <c r="P175" s="289"/>
      <c r="Q175" s="289"/>
      <c r="R175" s="289"/>
      <c r="S175" s="292"/>
      <c r="T175" s="181"/>
      <c r="U175" s="56"/>
    </row>
    <row r="176" customFormat="false" ht="20.1" hidden="false" customHeight="true" outlineLevel="0" collapsed="false">
      <c r="B176" s="56"/>
      <c r="C176" s="56"/>
      <c r="D176" s="213"/>
      <c r="E176" s="213"/>
      <c r="F176" s="164"/>
      <c r="G176" s="164"/>
      <c r="H176" s="213"/>
      <c r="I176" s="213"/>
      <c r="J176" s="213"/>
      <c r="K176" s="56"/>
      <c r="L176" s="56"/>
      <c r="M176" s="56"/>
      <c r="N176" s="56"/>
      <c r="O176" s="56"/>
      <c r="P176" s="56"/>
      <c r="Q176" s="56"/>
      <c r="R176" s="56"/>
      <c r="S176" s="56"/>
      <c r="T176" s="56"/>
      <c r="U176" s="56"/>
    </row>
    <row r="177" customFormat="false" ht="20.1" hidden="false" customHeight="true" outlineLevel="0" collapsed="false"/>
    <row r="178" customFormat="false" ht="20.1" hidden="false" customHeight="true" outlineLevel="0" collapsed="false"/>
    <row r="179" customFormat="false" ht="20.1" hidden="false" customHeight="true" outlineLevel="0" collapsed="false">
      <c r="B179" s="56"/>
      <c r="C179" s="56"/>
      <c r="D179" s="57"/>
      <c r="E179" s="57"/>
      <c r="F179" s="57"/>
      <c r="G179" s="57"/>
      <c r="H179" s="56"/>
      <c r="I179" s="56"/>
      <c r="J179" s="56"/>
      <c r="K179" s="56"/>
      <c r="L179" s="56"/>
      <c r="M179" s="56"/>
      <c r="N179" s="56"/>
      <c r="O179" s="56"/>
      <c r="P179" s="56"/>
      <c r="Q179" s="56"/>
      <c r="R179" s="56"/>
      <c r="S179" s="56"/>
      <c r="T179" s="56"/>
      <c r="U179" s="56"/>
    </row>
    <row r="180" customFormat="false" ht="30" hidden="false" customHeight="true" outlineLevel="0" collapsed="false">
      <c r="B180" s="56"/>
      <c r="C180" s="58" t="s">
        <v>134</v>
      </c>
      <c r="D180" s="58"/>
      <c r="E180" s="58"/>
      <c r="F180" s="58"/>
      <c r="G180" s="58"/>
      <c r="H180" s="58"/>
      <c r="I180" s="58"/>
      <c r="J180" s="58"/>
      <c r="K180" s="58"/>
      <c r="L180" s="58"/>
      <c r="M180" s="58"/>
      <c r="N180" s="58"/>
      <c r="O180" s="58"/>
      <c r="P180" s="58"/>
      <c r="Q180" s="58"/>
      <c r="R180" s="58"/>
      <c r="S180" s="58"/>
      <c r="T180" s="58"/>
      <c r="U180" s="56"/>
    </row>
    <row r="181" customFormat="false" ht="20.1" hidden="false" customHeight="true" outlineLevel="0" collapsed="false">
      <c r="B181" s="56"/>
      <c r="U181" s="56"/>
    </row>
    <row r="182" customFormat="false" ht="20.1" hidden="false" customHeight="true" outlineLevel="0" collapsed="false">
      <c r="B182" s="56"/>
      <c r="D182" s="59" t="s">
        <v>48</v>
      </c>
      <c r="E182" s="60" t="s">
        <v>49</v>
      </c>
      <c r="F182" s="61" t="s">
        <v>10</v>
      </c>
      <c r="G182" s="216" t="s">
        <v>50</v>
      </c>
      <c r="H182" s="216"/>
      <c r="I182" s="216"/>
      <c r="J182" s="216"/>
      <c r="K182" s="60" t="s">
        <v>51</v>
      </c>
      <c r="L182" s="62" t="s">
        <v>52</v>
      </c>
      <c r="M182" s="62"/>
      <c r="N182" s="62"/>
      <c r="O182" s="62"/>
      <c r="P182" s="62"/>
      <c r="Q182" s="62"/>
      <c r="R182" s="62"/>
      <c r="S182" s="62"/>
      <c r="U182" s="56"/>
    </row>
    <row r="183" customFormat="false" ht="20.1" hidden="false" customHeight="true" outlineLevel="0" collapsed="false">
      <c r="B183" s="56"/>
      <c r="D183" s="59"/>
      <c r="E183" s="60"/>
      <c r="F183" s="60"/>
      <c r="G183" s="66" t="s">
        <v>53</v>
      </c>
      <c r="H183" s="65" t="s">
        <v>54</v>
      </c>
      <c r="I183" s="61" t="s">
        <v>55</v>
      </c>
      <c r="J183" s="61"/>
      <c r="K183" s="65" t="s">
        <v>56</v>
      </c>
      <c r="L183" s="217" t="s">
        <v>53</v>
      </c>
      <c r="M183" s="218" t="s">
        <v>57</v>
      </c>
      <c r="N183" s="61" t="s">
        <v>55</v>
      </c>
      <c r="O183" s="61"/>
      <c r="P183" s="61"/>
      <c r="Q183" s="61"/>
      <c r="R183" s="61"/>
      <c r="S183" s="61"/>
      <c r="U183" s="56"/>
    </row>
    <row r="184" customFormat="false" ht="15" hidden="false" customHeight="true" outlineLevel="0" collapsed="false">
      <c r="B184" s="56"/>
      <c r="D184" s="67" t="s">
        <v>26</v>
      </c>
      <c r="E184" s="16" t="s">
        <v>27</v>
      </c>
      <c r="F184" s="20" t="n">
        <v>1</v>
      </c>
      <c r="G184" s="68" t="s">
        <v>58</v>
      </c>
      <c r="H184" s="293" t="s">
        <v>346</v>
      </c>
      <c r="I184" s="70" t="s">
        <v>347</v>
      </c>
      <c r="J184" s="70"/>
      <c r="K184" s="480" t="s">
        <v>113</v>
      </c>
      <c r="L184" s="413" t="s">
        <v>62</v>
      </c>
      <c r="M184" s="73" t="s">
        <v>62</v>
      </c>
      <c r="N184" s="74" t="s">
        <v>62</v>
      </c>
      <c r="O184" s="74"/>
      <c r="P184" s="74"/>
      <c r="Q184" s="74"/>
      <c r="R184" s="74"/>
      <c r="S184" s="74"/>
      <c r="U184" s="56"/>
    </row>
    <row r="185" customFormat="false" ht="15" hidden="false" customHeight="true" outlineLevel="0" collapsed="false">
      <c r="B185" s="56"/>
      <c r="D185" s="67"/>
      <c r="E185" s="16"/>
      <c r="F185" s="20"/>
      <c r="G185" s="68"/>
      <c r="H185" s="293"/>
      <c r="I185" s="75" t="s">
        <v>348</v>
      </c>
      <c r="J185" s="75"/>
      <c r="K185" s="480"/>
      <c r="L185" s="413"/>
      <c r="M185" s="73"/>
      <c r="N185" s="74"/>
      <c r="O185" s="74"/>
      <c r="P185" s="74"/>
      <c r="Q185" s="74"/>
      <c r="R185" s="74"/>
      <c r="S185" s="74"/>
      <c r="U185" s="56"/>
    </row>
    <row r="186" customFormat="false" ht="15" hidden="false" customHeight="true" outlineLevel="0" collapsed="false">
      <c r="B186" s="56"/>
      <c r="D186" s="120" t="s">
        <v>33</v>
      </c>
      <c r="E186" s="29" t="s">
        <v>34</v>
      </c>
      <c r="F186" s="26" t="n">
        <v>2</v>
      </c>
      <c r="G186" s="78" t="s">
        <v>58</v>
      </c>
      <c r="H186" s="79" t="s">
        <v>296</v>
      </c>
      <c r="I186" s="80" t="s">
        <v>302</v>
      </c>
      <c r="J186" s="80"/>
      <c r="K186" s="481" t="s">
        <v>411</v>
      </c>
      <c r="L186" s="82" t="s">
        <v>62</v>
      </c>
      <c r="M186" s="297" t="s">
        <v>62</v>
      </c>
      <c r="N186" s="298" t="s">
        <v>62</v>
      </c>
      <c r="O186" s="298"/>
      <c r="P186" s="298"/>
      <c r="Q186" s="298"/>
      <c r="R186" s="298"/>
      <c r="S186" s="298"/>
      <c r="U186" s="56"/>
    </row>
    <row r="187" customFormat="false" ht="15" hidden="false" customHeight="true" outlineLevel="0" collapsed="false">
      <c r="B187" s="56"/>
      <c r="D187" s="120"/>
      <c r="E187" s="29"/>
      <c r="F187" s="26"/>
      <c r="G187" s="78"/>
      <c r="H187" s="79"/>
      <c r="I187" s="85" t="s">
        <v>303</v>
      </c>
      <c r="J187" s="85"/>
      <c r="K187" s="481"/>
      <c r="L187" s="82"/>
      <c r="M187" s="297"/>
      <c r="N187" s="298"/>
      <c r="O187" s="298"/>
      <c r="P187" s="298"/>
      <c r="Q187" s="298"/>
      <c r="R187" s="298"/>
      <c r="S187" s="298"/>
      <c r="U187" s="56"/>
    </row>
    <row r="188" customFormat="false" ht="15" hidden="false" customHeight="true" outlineLevel="0" collapsed="false">
      <c r="B188" s="56"/>
      <c r="D188" s="120"/>
      <c r="E188" s="29"/>
      <c r="F188" s="26"/>
      <c r="G188" s="78"/>
      <c r="H188" s="79"/>
      <c r="I188" s="85" t="s">
        <v>412</v>
      </c>
      <c r="J188" s="85"/>
      <c r="K188" s="481"/>
      <c r="L188" s="82"/>
      <c r="M188" s="297"/>
      <c r="N188" s="298"/>
      <c r="O188" s="298"/>
      <c r="P188" s="298"/>
      <c r="Q188" s="298"/>
      <c r="R188" s="298"/>
      <c r="S188" s="298"/>
      <c r="U188" s="56"/>
    </row>
    <row r="189" customFormat="false" ht="15" hidden="false" customHeight="true" outlineLevel="0" collapsed="false">
      <c r="B189" s="56"/>
      <c r="D189" s="120"/>
      <c r="E189" s="29"/>
      <c r="F189" s="26"/>
      <c r="G189" s="78"/>
      <c r="H189" s="79"/>
      <c r="I189" s="85" t="s">
        <v>305</v>
      </c>
      <c r="J189" s="85"/>
      <c r="K189" s="481"/>
      <c r="L189" s="82"/>
      <c r="M189" s="297"/>
      <c r="N189" s="298"/>
      <c r="O189" s="298"/>
      <c r="P189" s="298"/>
      <c r="Q189" s="298"/>
      <c r="R189" s="298"/>
      <c r="S189" s="298"/>
      <c r="U189" s="56"/>
    </row>
    <row r="190" customFormat="false" ht="27.95" hidden="false" customHeight="true" outlineLevel="0" collapsed="false">
      <c r="B190" s="56"/>
      <c r="D190" s="77" t="s">
        <v>235</v>
      </c>
      <c r="E190" s="23" t="s">
        <v>236</v>
      </c>
      <c r="F190" s="26" t="n">
        <v>3</v>
      </c>
      <c r="G190" s="230" t="s">
        <v>58</v>
      </c>
      <c r="H190" s="299" t="s">
        <v>413</v>
      </c>
      <c r="I190" s="91" t="s">
        <v>414</v>
      </c>
      <c r="J190" s="91"/>
      <c r="K190" s="482" t="s">
        <v>113</v>
      </c>
      <c r="L190" s="82" t="s">
        <v>62</v>
      </c>
      <c r="M190" s="297" t="s">
        <v>62</v>
      </c>
      <c r="N190" s="298" t="s">
        <v>62</v>
      </c>
      <c r="O190" s="298"/>
      <c r="P190" s="298"/>
      <c r="Q190" s="298"/>
      <c r="R190" s="298"/>
      <c r="S190" s="298"/>
      <c r="U190" s="56"/>
    </row>
    <row r="191" customFormat="false" ht="15" hidden="false" customHeight="true" outlineLevel="0" collapsed="false">
      <c r="B191" s="56"/>
      <c r="D191" s="77"/>
      <c r="E191" s="23"/>
      <c r="F191" s="26"/>
      <c r="G191" s="230"/>
      <c r="H191" s="299"/>
      <c r="I191" s="96" t="s">
        <v>415</v>
      </c>
      <c r="J191" s="96"/>
      <c r="K191" s="482"/>
      <c r="L191" s="82"/>
      <c r="M191" s="297"/>
      <c r="N191" s="298"/>
      <c r="O191" s="298"/>
      <c r="P191" s="298"/>
      <c r="Q191" s="298"/>
      <c r="R191" s="298"/>
      <c r="S191" s="298"/>
      <c r="U191" s="56"/>
    </row>
    <row r="192" customFormat="false" ht="15" hidden="false" customHeight="true" outlineLevel="0" collapsed="false">
      <c r="B192" s="56"/>
      <c r="D192" s="236" t="s">
        <v>30</v>
      </c>
      <c r="E192" s="39" t="s">
        <v>31</v>
      </c>
      <c r="F192" s="44" t="n">
        <v>4</v>
      </c>
      <c r="G192" s="237" t="s">
        <v>58</v>
      </c>
      <c r="H192" s="301" t="s">
        <v>411</v>
      </c>
      <c r="I192" s="101" t="s">
        <v>416</v>
      </c>
      <c r="J192" s="101"/>
      <c r="K192" s="416" t="s">
        <v>113</v>
      </c>
      <c r="L192" s="240" t="s">
        <v>62</v>
      </c>
      <c r="M192" s="241" t="s">
        <v>62</v>
      </c>
      <c r="N192" s="242" t="s">
        <v>62</v>
      </c>
      <c r="O192" s="242"/>
      <c r="P192" s="242"/>
      <c r="Q192" s="242"/>
      <c r="R192" s="242"/>
      <c r="S192" s="242"/>
      <c r="U192" s="56"/>
    </row>
    <row r="193" customFormat="false" ht="15" hidden="false" customHeight="true" outlineLevel="0" collapsed="false">
      <c r="B193" s="56"/>
      <c r="D193" s="236"/>
      <c r="E193" s="39"/>
      <c r="F193" s="44"/>
      <c r="G193" s="237"/>
      <c r="H193" s="301"/>
      <c r="I193" s="103" t="s">
        <v>417</v>
      </c>
      <c r="J193" s="103"/>
      <c r="K193" s="416"/>
      <c r="L193" s="240"/>
      <c r="M193" s="241"/>
      <c r="N193" s="241"/>
      <c r="O193" s="242"/>
      <c r="P193" s="242"/>
      <c r="Q193" s="242"/>
      <c r="R193" s="242"/>
      <c r="S193" s="242"/>
      <c r="U193" s="56"/>
    </row>
    <row r="194" customFormat="false" ht="15" hidden="false" customHeight="true" outlineLevel="0" collapsed="false">
      <c r="B194" s="56"/>
      <c r="D194" s="236"/>
      <c r="E194" s="39"/>
      <c r="F194" s="44"/>
      <c r="G194" s="237"/>
      <c r="H194" s="301"/>
      <c r="I194" s="103" t="s">
        <v>418</v>
      </c>
      <c r="J194" s="103"/>
      <c r="K194" s="416"/>
      <c r="L194" s="240"/>
      <c r="M194" s="241"/>
      <c r="N194" s="241"/>
      <c r="O194" s="242"/>
      <c r="P194" s="242"/>
      <c r="Q194" s="242"/>
      <c r="R194" s="242"/>
      <c r="S194" s="242"/>
      <c r="U194" s="56"/>
    </row>
    <row r="195" customFormat="false" ht="15" hidden="false" customHeight="true" outlineLevel="0" collapsed="false">
      <c r="B195" s="56"/>
      <c r="D195" s="236"/>
      <c r="E195" s="39"/>
      <c r="F195" s="44"/>
      <c r="G195" s="237"/>
      <c r="H195" s="301"/>
      <c r="I195" s="103" t="s">
        <v>419</v>
      </c>
      <c r="J195" s="103"/>
      <c r="K195" s="416"/>
      <c r="L195" s="240"/>
      <c r="M195" s="241"/>
      <c r="N195" s="241"/>
      <c r="O195" s="242"/>
      <c r="P195" s="242"/>
      <c r="Q195" s="242"/>
      <c r="R195" s="242"/>
      <c r="S195" s="242"/>
      <c r="U195" s="56"/>
    </row>
    <row r="196" customFormat="false" ht="15.75" hidden="false" customHeight="true" outlineLevel="0" collapsed="false">
      <c r="B196" s="56"/>
      <c r="D196" s="236"/>
      <c r="E196" s="39"/>
      <c r="F196" s="44"/>
      <c r="G196" s="237"/>
      <c r="H196" s="301"/>
      <c r="I196" s="104" t="s">
        <v>420</v>
      </c>
      <c r="J196" s="104"/>
      <c r="K196" s="416"/>
      <c r="L196" s="240"/>
      <c r="M196" s="241"/>
      <c r="N196" s="241"/>
      <c r="O196" s="242"/>
      <c r="P196" s="242"/>
      <c r="Q196" s="242"/>
      <c r="R196" s="242"/>
      <c r="S196" s="242"/>
      <c r="U196" s="56"/>
    </row>
    <row r="197" customFormat="false" ht="20.1" hidden="false" customHeight="true" outlineLevel="0" collapsed="false">
      <c r="B197" s="56"/>
      <c r="U197" s="56"/>
    </row>
    <row r="198" customFormat="false" ht="20.1" hidden="false" customHeight="true" outlineLevel="0" collapsed="false">
      <c r="B198" s="56"/>
      <c r="C198" s="106"/>
      <c r="D198" s="106"/>
      <c r="E198" s="107" t="str">
        <f aca="false">IF(OR(L184="-",L184= ""),H184,L184)</f>
        <v>Living Forest</v>
      </c>
      <c r="F198" s="107"/>
      <c r="G198" s="107"/>
      <c r="H198" s="107"/>
      <c r="I198" s="107"/>
      <c r="J198" s="107"/>
      <c r="K198" s="107"/>
      <c r="L198" s="107"/>
      <c r="M198" s="107"/>
      <c r="N198" s="107"/>
      <c r="O198" s="108"/>
      <c r="P198" s="108"/>
      <c r="Q198" s="108"/>
      <c r="R198" s="108"/>
      <c r="S198" s="108"/>
      <c r="T198" s="106"/>
      <c r="U198" s="56"/>
    </row>
    <row r="199" customFormat="false" ht="50.1" hidden="false" customHeight="true" outlineLevel="0" collapsed="false">
      <c r="B199" s="56"/>
      <c r="C199" s="106"/>
      <c r="D199" s="108"/>
      <c r="E199" s="59" t="s">
        <v>48</v>
      </c>
      <c r="F199" s="109" t="s">
        <v>80</v>
      </c>
      <c r="G199" s="61" t="s">
        <v>81</v>
      </c>
      <c r="H199" s="60" t="s">
        <v>82</v>
      </c>
      <c r="I199" s="6" t="s">
        <v>83</v>
      </c>
      <c r="J199" s="60" t="s">
        <v>84</v>
      </c>
      <c r="K199" s="110" t="s">
        <v>85</v>
      </c>
      <c r="L199" s="60" t="s">
        <v>86</v>
      </c>
      <c r="M199" s="111" t="s">
        <v>87</v>
      </c>
      <c r="N199" s="61" t="s">
        <v>88</v>
      </c>
      <c r="O199" s="112" t="s">
        <v>89</v>
      </c>
      <c r="P199" s="113" t="s">
        <v>90</v>
      </c>
      <c r="Q199" s="113" t="s">
        <v>91</v>
      </c>
      <c r="R199" s="12" t="s">
        <v>92</v>
      </c>
      <c r="S199" s="108"/>
      <c r="T199" s="106"/>
      <c r="U199" s="56"/>
    </row>
    <row r="200" customFormat="false" ht="20.1" hidden="false" customHeight="true" outlineLevel="0" collapsed="false">
      <c r="B200" s="56"/>
      <c r="C200" s="106"/>
      <c r="D200" s="131"/>
      <c r="E200" s="243" t="s">
        <v>26</v>
      </c>
      <c r="F200" s="244" t="s">
        <v>27</v>
      </c>
      <c r="G200" s="245" t="n">
        <v>3</v>
      </c>
      <c r="H200" s="245" t="s">
        <v>62</v>
      </c>
      <c r="I200" s="245" t="n">
        <v>0</v>
      </c>
      <c r="J200" s="328" t="n">
        <v>1</v>
      </c>
      <c r="K200" s="245" t="s">
        <v>62</v>
      </c>
      <c r="L200" s="246" t="n">
        <f aca="false">IF(J200="",0,(J200/J204)*100)</f>
        <v>100</v>
      </c>
      <c r="M200" s="245" t="n">
        <v>1</v>
      </c>
      <c r="N200" s="247" t="n">
        <v>6</v>
      </c>
      <c r="O200" s="116" t="n">
        <f aca="false">IF(M200=1,1,0)</f>
        <v>1</v>
      </c>
      <c r="P200" s="117" t="n">
        <f aca="false">IF(M200=2,1,0)</f>
        <v>0</v>
      </c>
      <c r="Q200" s="117" t="n">
        <f aca="false">IF(M200=3,1,0)</f>
        <v>0</v>
      </c>
      <c r="R200" s="118" t="n">
        <f aca="false">IF(M200=4,1,0)</f>
        <v>0</v>
      </c>
      <c r="S200" s="119"/>
      <c r="T200" s="106"/>
      <c r="U200" s="56"/>
    </row>
    <row r="201" customFormat="false" ht="45" hidden="false" customHeight="true" outlineLevel="0" collapsed="false">
      <c r="B201" s="56"/>
      <c r="C201" s="106"/>
      <c r="D201" s="106"/>
      <c r="E201" s="77" t="s">
        <v>33</v>
      </c>
      <c r="F201" s="29" t="s">
        <v>34</v>
      </c>
      <c r="G201" s="248" t="n">
        <v>1</v>
      </c>
      <c r="H201" s="248" t="s">
        <v>62</v>
      </c>
      <c r="I201" s="248" t="n">
        <v>0</v>
      </c>
      <c r="J201" s="249" t="n">
        <v>0</v>
      </c>
      <c r="K201" s="249" t="s">
        <v>421</v>
      </c>
      <c r="L201" s="250" t="n">
        <f aca="false">IF(J201="",0,(J201/J204)*100)</f>
        <v>0</v>
      </c>
      <c r="M201" s="248" t="n">
        <v>4</v>
      </c>
      <c r="N201" s="483" t="n">
        <v>0</v>
      </c>
      <c r="O201" s="123" t="n">
        <f aca="false">IF(M201=1,1,0)</f>
        <v>0</v>
      </c>
      <c r="P201" s="124" t="n">
        <f aca="false">IF(M201=2,1,0)</f>
        <v>0</v>
      </c>
      <c r="Q201" s="124" t="n">
        <f aca="false">IF(M201=3,1,0)</f>
        <v>0</v>
      </c>
      <c r="R201" s="125" t="n">
        <f aca="false">IF(M201=4,1,0)</f>
        <v>1</v>
      </c>
      <c r="S201" s="119"/>
      <c r="T201" s="106"/>
      <c r="U201" s="56"/>
    </row>
    <row r="202" customFormat="false" ht="45" hidden="false" customHeight="true" outlineLevel="0" collapsed="false">
      <c r="B202" s="56"/>
      <c r="C202" s="106"/>
      <c r="D202" s="106"/>
      <c r="E202" s="331" t="s">
        <v>235</v>
      </c>
      <c r="F202" s="29" t="s">
        <v>236</v>
      </c>
      <c r="G202" s="248" t="n">
        <v>2</v>
      </c>
      <c r="H202" s="248" t="s">
        <v>62</v>
      </c>
      <c r="I202" s="248" t="n">
        <v>0</v>
      </c>
      <c r="J202" s="249" t="n">
        <v>0</v>
      </c>
      <c r="K202" s="249" t="s">
        <v>422</v>
      </c>
      <c r="L202" s="250" t="n">
        <f aca="false">IF(J202="",0,(J202/J204)*100)</f>
        <v>0</v>
      </c>
      <c r="M202" s="248" t="n">
        <v>2</v>
      </c>
      <c r="N202" s="483" t="n">
        <v>2</v>
      </c>
      <c r="O202" s="123" t="n">
        <f aca="false">IF(M202=1,1,0)</f>
        <v>0</v>
      </c>
      <c r="P202" s="124" t="n">
        <f aca="false">IF(M202=2,1,0)</f>
        <v>1</v>
      </c>
      <c r="Q202" s="124" t="n">
        <f aca="false">IF(M202=3,1,0)</f>
        <v>0</v>
      </c>
      <c r="R202" s="125" t="n">
        <f aca="false">IF(M202=4,1,0)</f>
        <v>0</v>
      </c>
      <c r="S202" s="119"/>
      <c r="T202" s="106"/>
      <c r="U202" s="56"/>
    </row>
    <row r="203" customFormat="false" ht="45" hidden="false" customHeight="true" outlineLevel="0" collapsed="false">
      <c r="B203" s="56"/>
      <c r="C203" s="106"/>
      <c r="D203" s="106"/>
      <c r="E203" s="252" t="s">
        <v>30</v>
      </c>
      <c r="F203" s="39" t="s">
        <v>31</v>
      </c>
      <c r="G203" s="253" t="n">
        <v>4</v>
      </c>
      <c r="H203" s="254" t="s">
        <v>62</v>
      </c>
      <c r="I203" s="253" t="n">
        <v>0</v>
      </c>
      <c r="J203" s="254" t="n">
        <v>0</v>
      </c>
      <c r="K203" s="254" t="s">
        <v>422</v>
      </c>
      <c r="L203" s="255" t="n">
        <f aca="false">IF(J203="",0,(J203/J204)*100)</f>
        <v>0</v>
      </c>
      <c r="M203" s="253" t="n">
        <v>2</v>
      </c>
      <c r="N203" s="484" t="n">
        <v>2</v>
      </c>
      <c r="O203" s="135" t="n">
        <f aca="false">IF(M203=1,1,0)</f>
        <v>0</v>
      </c>
      <c r="P203" s="136" t="n">
        <f aca="false">IF(M203=2,1,0)</f>
        <v>1</v>
      </c>
      <c r="Q203" s="136" t="n">
        <f aca="false">IF(M203=3,1,0)</f>
        <v>0</v>
      </c>
      <c r="R203" s="137" t="n">
        <f aca="false">IF(M203=4,1,0)</f>
        <v>0</v>
      </c>
      <c r="S203" s="119"/>
      <c r="T203" s="106"/>
      <c r="U203" s="56"/>
    </row>
    <row r="204" customFormat="false" ht="20.1" hidden="true" customHeight="true" outlineLevel="1" collapsed="false">
      <c r="B204" s="56"/>
      <c r="C204" s="106"/>
      <c r="D204" s="131"/>
      <c r="E204" s="131"/>
      <c r="F204" s="139"/>
      <c r="G204" s="139"/>
      <c r="H204" s="106"/>
      <c r="I204" s="170" t="s">
        <v>94</v>
      </c>
      <c r="J204" s="141" t="n">
        <f aca="false">MAX(J200:J203)</f>
        <v>1</v>
      </c>
      <c r="K204" s="257"/>
      <c r="L204" s="147"/>
      <c r="M204" s="106"/>
      <c r="N204" s="144" t="s">
        <v>95</v>
      </c>
      <c r="O204" s="145" t="n">
        <f aca="false">SUM(O200:O203)</f>
        <v>1</v>
      </c>
      <c r="P204" s="146" t="n">
        <f aca="false">SUM(P200:P203)</f>
        <v>2</v>
      </c>
      <c r="Q204" s="145" t="n">
        <f aca="false">SUM(Q200:Q203)</f>
        <v>0</v>
      </c>
      <c r="R204" s="158" t="n">
        <f aca="false">SUM(R200:R203)</f>
        <v>1</v>
      </c>
      <c r="S204" s="147"/>
      <c r="T204" s="106"/>
      <c r="U204" s="56"/>
    </row>
    <row r="205" customFormat="false" ht="20.1" hidden="false" customHeight="true" outlineLevel="0" collapsed="false">
      <c r="B205" s="56"/>
      <c r="C205" s="106"/>
      <c r="D205" s="106"/>
      <c r="E205" s="106"/>
      <c r="F205" s="106"/>
      <c r="G205" s="106"/>
      <c r="H205" s="106"/>
      <c r="I205" s="106"/>
      <c r="J205" s="106"/>
      <c r="K205" s="106"/>
      <c r="L205" s="106"/>
      <c r="M205" s="106"/>
      <c r="N205" s="106"/>
      <c r="O205" s="106"/>
      <c r="P205" s="106"/>
      <c r="Q205" s="106"/>
      <c r="R205" s="106"/>
      <c r="S205" s="106"/>
      <c r="T205" s="106"/>
      <c r="U205" s="56"/>
    </row>
    <row r="206" customFormat="false" ht="20.1" hidden="false" customHeight="true" outlineLevel="0" collapsed="false">
      <c r="B206" s="56"/>
      <c r="U206" s="56"/>
    </row>
    <row r="207" customFormat="false" ht="20.1" hidden="false" customHeight="true" outlineLevel="0" collapsed="false">
      <c r="B207" s="56"/>
      <c r="C207" s="149"/>
      <c r="D207" s="149"/>
      <c r="E207" s="150" t="str">
        <f aca="false">IF(OR(L186="-",L186= ""),H186,L186)</f>
        <v>Teotihuacan: Die Stadt der Götter</v>
      </c>
      <c r="F207" s="150"/>
      <c r="G207" s="150"/>
      <c r="H207" s="150"/>
      <c r="I207" s="150"/>
      <c r="J207" s="150"/>
      <c r="K207" s="150"/>
      <c r="L207" s="150"/>
      <c r="M207" s="150"/>
      <c r="N207" s="150"/>
      <c r="O207" s="151"/>
      <c r="P207" s="151"/>
      <c r="Q207" s="151"/>
      <c r="R207" s="151"/>
      <c r="S207" s="151"/>
      <c r="T207" s="149"/>
      <c r="U207" s="56"/>
    </row>
    <row r="208" customFormat="false" ht="50.1" hidden="false" customHeight="true" outlineLevel="0" collapsed="false">
      <c r="B208" s="56"/>
      <c r="C208" s="149"/>
      <c r="D208" s="151"/>
      <c r="E208" s="59" t="s">
        <v>48</v>
      </c>
      <c r="F208" s="109" t="s">
        <v>80</v>
      </c>
      <c r="G208" s="61" t="s">
        <v>81</v>
      </c>
      <c r="H208" s="60" t="s">
        <v>82</v>
      </c>
      <c r="I208" s="6" t="s">
        <v>83</v>
      </c>
      <c r="J208" s="60" t="s">
        <v>84</v>
      </c>
      <c r="K208" s="110" t="s">
        <v>85</v>
      </c>
      <c r="L208" s="60" t="s">
        <v>86</v>
      </c>
      <c r="M208" s="111" t="s">
        <v>87</v>
      </c>
      <c r="N208" s="61" t="s">
        <v>88</v>
      </c>
      <c r="O208" s="112" t="s">
        <v>89</v>
      </c>
      <c r="P208" s="113" t="s">
        <v>90</v>
      </c>
      <c r="Q208" s="113" t="s">
        <v>91</v>
      </c>
      <c r="R208" s="12" t="s">
        <v>92</v>
      </c>
      <c r="S208" s="151"/>
      <c r="T208" s="149"/>
      <c r="U208" s="56"/>
    </row>
    <row r="209" customFormat="false" ht="20.1" hidden="false" customHeight="true" outlineLevel="0" collapsed="false">
      <c r="B209" s="56"/>
      <c r="C209" s="149"/>
      <c r="D209" s="153"/>
      <c r="E209" s="243" t="s">
        <v>26</v>
      </c>
      <c r="F209" s="244" t="s">
        <v>27</v>
      </c>
      <c r="G209" s="245" t="n">
        <v>1</v>
      </c>
      <c r="H209" s="245" t="s">
        <v>62</v>
      </c>
      <c r="I209" s="245" t="n">
        <v>0</v>
      </c>
      <c r="J209" s="328" t="n">
        <v>204</v>
      </c>
      <c r="K209" s="245" t="s">
        <v>62</v>
      </c>
      <c r="L209" s="246" t="n">
        <f aca="false">IF(J209="",0,(J209/J213)*100)</f>
        <v>100</v>
      </c>
      <c r="M209" s="245" t="n">
        <v>1</v>
      </c>
      <c r="N209" s="247" t="n">
        <v>6</v>
      </c>
      <c r="O209" s="116" t="n">
        <f aca="false">IF(M209=1,1,0)</f>
        <v>1</v>
      </c>
      <c r="P209" s="117" t="n">
        <f aca="false">IF(M209=2,1,0)</f>
        <v>0</v>
      </c>
      <c r="Q209" s="117" t="n">
        <f aca="false">IF(M209=3,1,0)</f>
        <v>0</v>
      </c>
      <c r="R209" s="118" t="n">
        <f aca="false">IF(M209=4,1,0)</f>
        <v>0</v>
      </c>
      <c r="S209" s="152"/>
      <c r="T209" s="149"/>
      <c r="U209" s="56"/>
    </row>
    <row r="210" customFormat="false" ht="20.1" hidden="false" customHeight="true" outlineLevel="0" collapsed="false">
      <c r="B210" s="56"/>
      <c r="C210" s="149"/>
      <c r="D210" s="149"/>
      <c r="E210" s="77" t="s">
        <v>33</v>
      </c>
      <c r="F210" s="29" t="s">
        <v>34</v>
      </c>
      <c r="G210" s="248" t="n">
        <v>3</v>
      </c>
      <c r="H210" s="248" t="s">
        <v>62</v>
      </c>
      <c r="I210" s="248" t="n">
        <v>0</v>
      </c>
      <c r="J210" s="249" t="n">
        <v>160</v>
      </c>
      <c r="K210" s="249" t="s">
        <v>62</v>
      </c>
      <c r="L210" s="250" t="n">
        <f aca="false">IF(J210="",0,(J210/J213)*100)</f>
        <v>78.4313725490196</v>
      </c>
      <c r="M210" s="248" t="n">
        <v>3</v>
      </c>
      <c r="N210" s="251" t="n">
        <v>1</v>
      </c>
      <c r="O210" s="123" t="n">
        <f aca="false">IF(M210=1,1,0)</f>
        <v>0</v>
      </c>
      <c r="P210" s="124" t="n">
        <f aca="false">IF(M210=2,1,0)</f>
        <v>0</v>
      </c>
      <c r="Q210" s="124" t="n">
        <f aca="false">IF(M210=3,1,0)</f>
        <v>1</v>
      </c>
      <c r="R210" s="125" t="n">
        <f aca="false">IF(M210=4,1,0)</f>
        <v>0</v>
      </c>
      <c r="S210" s="152"/>
      <c r="T210" s="149"/>
      <c r="U210" s="56"/>
    </row>
    <row r="211" customFormat="false" ht="20.1" hidden="false" customHeight="true" outlineLevel="0" collapsed="false">
      <c r="B211" s="56"/>
      <c r="C211" s="149"/>
      <c r="D211" s="153"/>
      <c r="E211" s="331" t="s">
        <v>235</v>
      </c>
      <c r="F211" s="29" t="s">
        <v>236</v>
      </c>
      <c r="G211" s="248" t="n">
        <v>4</v>
      </c>
      <c r="H211" s="248" t="s">
        <v>62</v>
      </c>
      <c r="I211" s="248" t="n">
        <v>0</v>
      </c>
      <c r="J211" s="249" t="n">
        <v>182</v>
      </c>
      <c r="K211" s="249" t="s">
        <v>62</v>
      </c>
      <c r="L211" s="250" t="n">
        <f aca="false">IF(J211="",0,(J211/J213)*100)</f>
        <v>89.2156862745098</v>
      </c>
      <c r="M211" s="248" t="n">
        <v>2</v>
      </c>
      <c r="N211" s="251" t="n">
        <v>3</v>
      </c>
      <c r="O211" s="123" t="n">
        <f aca="false">IF(M211=1,1,0)</f>
        <v>0</v>
      </c>
      <c r="P211" s="124" t="n">
        <f aca="false">IF(M211=2,1,0)</f>
        <v>1</v>
      </c>
      <c r="Q211" s="124" t="n">
        <f aca="false">IF(M211=3,1,0)</f>
        <v>0</v>
      </c>
      <c r="R211" s="125" t="n">
        <f aca="false">IF(M211=4,1,0)</f>
        <v>0</v>
      </c>
      <c r="S211" s="152"/>
      <c r="T211" s="149"/>
      <c r="U211" s="56"/>
    </row>
    <row r="212" customFormat="false" ht="20.1" hidden="false" customHeight="true" outlineLevel="0" collapsed="false">
      <c r="B212" s="56"/>
      <c r="C212" s="149"/>
      <c r="D212" s="149"/>
      <c r="E212" s="252" t="s">
        <v>30</v>
      </c>
      <c r="F212" s="39" t="s">
        <v>31</v>
      </c>
      <c r="G212" s="253" t="n">
        <v>2</v>
      </c>
      <c r="H212" s="254" t="s">
        <v>62</v>
      </c>
      <c r="I212" s="253" t="n">
        <v>0</v>
      </c>
      <c r="J212" s="254" t="n">
        <v>67</v>
      </c>
      <c r="K212" s="254" t="s">
        <v>62</v>
      </c>
      <c r="L212" s="255" t="n">
        <f aca="false">IF(J212="",0,(J212/J213)*100)</f>
        <v>32.843137254902</v>
      </c>
      <c r="M212" s="253" t="n">
        <v>4</v>
      </c>
      <c r="N212" s="256" t="n">
        <v>0</v>
      </c>
      <c r="O212" s="135" t="n">
        <f aca="false">IF(M212=1,1,0)</f>
        <v>0</v>
      </c>
      <c r="P212" s="136" t="n">
        <f aca="false">IF(M212=2,1,0)</f>
        <v>0</v>
      </c>
      <c r="Q212" s="136" t="n">
        <f aca="false">IF(M212=3,1,0)</f>
        <v>0</v>
      </c>
      <c r="R212" s="137" t="n">
        <f aca="false">IF(M212=4,1,0)</f>
        <v>1</v>
      </c>
      <c r="S212" s="152"/>
      <c r="T212" s="149"/>
      <c r="U212" s="56"/>
    </row>
    <row r="213" customFormat="false" ht="20.1" hidden="true" customHeight="true" outlineLevel="1" collapsed="false">
      <c r="B213" s="56"/>
      <c r="C213" s="149"/>
      <c r="D213" s="149"/>
      <c r="E213" s="149"/>
      <c r="F213" s="155"/>
      <c r="G213" s="155"/>
      <c r="H213" s="149"/>
      <c r="I213" s="170" t="s">
        <v>94</v>
      </c>
      <c r="J213" s="141" t="n">
        <f aca="false">MAX(J209:J212)</f>
        <v>204</v>
      </c>
      <c r="K213" s="157"/>
      <c r="L213" s="152"/>
      <c r="M213" s="149"/>
      <c r="N213" s="144" t="s">
        <v>95</v>
      </c>
      <c r="O213" s="145" t="n">
        <f aca="false">SUM(O209:O212)</f>
        <v>1</v>
      </c>
      <c r="P213" s="146" t="n">
        <f aca="false">SUM(P209:P212)</f>
        <v>1</v>
      </c>
      <c r="Q213" s="145" t="n">
        <f aca="false">SUM(Q209:Q212)</f>
        <v>1</v>
      </c>
      <c r="R213" s="158" t="n">
        <f aca="false">SUM(R209:R212)</f>
        <v>1</v>
      </c>
      <c r="S213" s="159"/>
      <c r="T213" s="149"/>
      <c r="U213" s="56"/>
    </row>
    <row r="214" customFormat="false" ht="20.1" hidden="false" customHeight="true" outlineLevel="0" collapsed="false">
      <c r="B214" s="56"/>
      <c r="C214" s="149"/>
      <c r="D214" s="149"/>
      <c r="E214" s="149"/>
      <c r="F214" s="149"/>
      <c r="G214" s="149"/>
      <c r="H214" s="149"/>
      <c r="I214" s="149"/>
      <c r="J214" s="149"/>
      <c r="K214" s="149"/>
      <c r="L214" s="149"/>
      <c r="M214" s="149"/>
      <c r="N214" s="149"/>
      <c r="O214" s="149"/>
      <c r="P214" s="149"/>
      <c r="Q214" s="149"/>
      <c r="R214" s="149"/>
      <c r="S214" s="149"/>
      <c r="T214" s="149"/>
      <c r="U214" s="56"/>
    </row>
    <row r="215" customFormat="false" ht="20.1" hidden="false" customHeight="true" outlineLevel="0" collapsed="false">
      <c r="B215" s="56"/>
      <c r="D215" s="45"/>
      <c r="E215" s="45"/>
      <c r="F215" s="45"/>
      <c r="G215" s="45"/>
      <c r="H215" s="160"/>
      <c r="I215" s="45"/>
      <c r="J215" s="45"/>
      <c r="U215" s="56"/>
    </row>
    <row r="216" customFormat="false" ht="20.1" hidden="false" customHeight="true" outlineLevel="0" collapsed="false">
      <c r="B216" s="56"/>
      <c r="C216" s="161"/>
      <c r="D216" s="161"/>
      <c r="E216" s="162" t="str">
        <f aca="false">IF(OR(L190="-",L190= ""),H190,L190)</f>
        <v>Architekten des Westfrankenreichs</v>
      </c>
      <c r="F216" s="162"/>
      <c r="G216" s="162"/>
      <c r="H216" s="162"/>
      <c r="I216" s="162"/>
      <c r="J216" s="162"/>
      <c r="K216" s="162"/>
      <c r="L216" s="162"/>
      <c r="M216" s="162"/>
      <c r="N216" s="162"/>
      <c r="O216" s="163"/>
      <c r="P216" s="163"/>
      <c r="Q216" s="163"/>
      <c r="R216" s="163"/>
      <c r="S216" s="163"/>
      <c r="T216" s="161"/>
      <c r="U216" s="164"/>
    </row>
    <row r="217" customFormat="false" ht="50.1" hidden="false" customHeight="true" outlineLevel="0" collapsed="false">
      <c r="B217" s="56"/>
      <c r="C217" s="161"/>
      <c r="D217" s="163"/>
      <c r="E217" s="59" t="s">
        <v>48</v>
      </c>
      <c r="F217" s="109" t="s">
        <v>80</v>
      </c>
      <c r="G217" s="61" t="s">
        <v>81</v>
      </c>
      <c r="H217" s="60" t="s">
        <v>82</v>
      </c>
      <c r="I217" s="6" t="s">
        <v>83</v>
      </c>
      <c r="J217" s="60" t="s">
        <v>84</v>
      </c>
      <c r="K217" s="110" t="s">
        <v>85</v>
      </c>
      <c r="L217" s="60" t="s">
        <v>86</v>
      </c>
      <c r="M217" s="111" t="s">
        <v>87</v>
      </c>
      <c r="N217" s="61" t="s">
        <v>88</v>
      </c>
      <c r="O217" s="112" t="s">
        <v>89</v>
      </c>
      <c r="P217" s="113" t="s">
        <v>90</v>
      </c>
      <c r="Q217" s="113" t="s">
        <v>91</v>
      </c>
      <c r="R217" s="12" t="s">
        <v>92</v>
      </c>
      <c r="S217" s="163"/>
      <c r="T217" s="161"/>
      <c r="U217" s="164"/>
    </row>
    <row r="218" customFormat="false" ht="20.1" hidden="false" customHeight="true" outlineLevel="0" collapsed="false">
      <c r="B218" s="56"/>
      <c r="C218" s="161"/>
      <c r="D218" s="167"/>
      <c r="E218" s="67" t="s">
        <v>26</v>
      </c>
      <c r="F218" s="14" t="s">
        <v>27</v>
      </c>
      <c r="G218" s="258" t="n">
        <v>1</v>
      </c>
      <c r="H218" s="258" t="s">
        <v>423</v>
      </c>
      <c r="I218" s="258" t="n">
        <v>0</v>
      </c>
      <c r="J218" s="304" t="n">
        <v>43</v>
      </c>
      <c r="K218" s="258" t="s">
        <v>62</v>
      </c>
      <c r="L218" s="259" t="n">
        <f aca="false">IF(J218="",0,(J218/J222)*100)</f>
        <v>95.5555555555556</v>
      </c>
      <c r="M218" s="258" t="n">
        <v>2</v>
      </c>
      <c r="N218" s="260" t="n">
        <v>3</v>
      </c>
      <c r="O218" s="116" t="n">
        <f aca="false">IF(M218=1,1,0)</f>
        <v>0</v>
      </c>
      <c r="P218" s="117" t="n">
        <f aca="false">IF(M218=2,1,0)</f>
        <v>1</v>
      </c>
      <c r="Q218" s="117" t="n">
        <f aca="false">IF(M218=3,1,0)</f>
        <v>0</v>
      </c>
      <c r="R218" s="118" t="n">
        <f aca="false">IF(M218=4,1,0)</f>
        <v>0</v>
      </c>
      <c r="S218" s="166"/>
      <c r="T218" s="161"/>
      <c r="U218" s="56"/>
    </row>
    <row r="219" customFormat="false" ht="20.1" hidden="false" customHeight="true" outlineLevel="0" collapsed="false">
      <c r="B219" s="56"/>
      <c r="C219" s="161"/>
      <c r="D219" s="161"/>
      <c r="E219" s="77" t="s">
        <v>33</v>
      </c>
      <c r="F219" s="29" t="s">
        <v>34</v>
      </c>
      <c r="G219" s="248" t="n">
        <v>2</v>
      </c>
      <c r="H219" s="248" t="s">
        <v>424</v>
      </c>
      <c r="I219" s="248" t="n">
        <v>0</v>
      </c>
      <c r="J219" s="249" t="n">
        <v>38</v>
      </c>
      <c r="K219" s="249" t="s">
        <v>62</v>
      </c>
      <c r="L219" s="250" t="n">
        <f aca="false">IF(J219="",0,(J219/J222)*100)</f>
        <v>84.4444444444444</v>
      </c>
      <c r="M219" s="248" t="n">
        <v>3</v>
      </c>
      <c r="N219" s="251" t="n">
        <v>1</v>
      </c>
      <c r="O219" s="123" t="n">
        <f aca="false">IF(M219=1,1,0)</f>
        <v>0</v>
      </c>
      <c r="P219" s="124" t="n">
        <f aca="false">IF(M219=2,1,0)</f>
        <v>0</v>
      </c>
      <c r="Q219" s="124" t="n">
        <f aca="false">IF(M219=3,1,0)</f>
        <v>1</v>
      </c>
      <c r="R219" s="125" t="n">
        <f aca="false">IF(M219=4,1,0)</f>
        <v>0</v>
      </c>
      <c r="S219" s="166"/>
      <c r="T219" s="161"/>
      <c r="U219" s="168"/>
    </row>
    <row r="220" customFormat="false" ht="20.1" hidden="false" customHeight="true" outlineLevel="0" collapsed="false">
      <c r="B220" s="56"/>
      <c r="C220" s="161"/>
      <c r="D220" s="161"/>
      <c r="E220" s="485" t="s">
        <v>235</v>
      </c>
      <c r="F220" s="127" t="s">
        <v>236</v>
      </c>
      <c r="G220" s="128" t="n">
        <v>3</v>
      </c>
      <c r="H220" s="128" t="s">
        <v>425</v>
      </c>
      <c r="I220" s="128" t="n">
        <v>0</v>
      </c>
      <c r="J220" s="305" t="n">
        <v>45</v>
      </c>
      <c r="K220" s="305" t="s">
        <v>62</v>
      </c>
      <c r="L220" s="129" t="n">
        <f aca="false">IF(J220="",0,(J220/J222)*100)</f>
        <v>100</v>
      </c>
      <c r="M220" s="128" t="n">
        <v>1</v>
      </c>
      <c r="N220" s="130" t="n">
        <v>6</v>
      </c>
      <c r="O220" s="123" t="n">
        <f aca="false">IF(M220=1,1,0)</f>
        <v>1</v>
      </c>
      <c r="P220" s="124" t="n">
        <f aca="false">IF(M220=2,1,0)</f>
        <v>0</v>
      </c>
      <c r="Q220" s="124" t="n">
        <f aca="false">IF(M220=3,1,0)</f>
        <v>0</v>
      </c>
      <c r="R220" s="125" t="n">
        <f aca="false">IF(M220=4,1,0)</f>
        <v>0</v>
      </c>
      <c r="S220" s="166"/>
      <c r="T220" s="161"/>
      <c r="U220" s="168"/>
    </row>
    <row r="221" customFormat="false" ht="20.1" hidden="false" customHeight="true" outlineLevel="0" collapsed="false">
      <c r="B221" s="56"/>
      <c r="C221" s="161"/>
      <c r="D221" s="161"/>
      <c r="E221" s="252" t="s">
        <v>30</v>
      </c>
      <c r="F221" s="39" t="s">
        <v>31</v>
      </c>
      <c r="G221" s="253" t="n">
        <v>4</v>
      </c>
      <c r="H221" s="254" t="s">
        <v>426</v>
      </c>
      <c r="I221" s="253" t="n">
        <v>0</v>
      </c>
      <c r="J221" s="254" t="n">
        <v>13</v>
      </c>
      <c r="K221" s="254" t="s">
        <v>62</v>
      </c>
      <c r="L221" s="255" t="n">
        <f aca="false">IF(J221="",0,(J221/J222)*100)</f>
        <v>28.8888888888889</v>
      </c>
      <c r="M221" s="253" t="n">
        <v>4</v>
      </c>
      <c r="N221" s="256" t="n">
        <v>0</v>
      </c>
      <c r="O221" s="135" t="n">
        <f aca="false">IF(M221=1,1,0)</f>
        <v>0</v>
      </c>
      <c r="P221" s="136" t="n">
        <f aca="false">IF(M221=2,1,0)</f>
        <v>0</v>
      </c>
      <c r="Q221" s="136" t="n">
        <f aca="false">IF(M221=3,1,0)</f>
        <v>0</v>
      </c>
      <c r="R221" s="137" t="n">
        <f aca="false">IF(M221=4,1,0)</f>
        <v>1</v>
      </c>
      <c r="S221" s="166"/>
      <c r="T221" s="161"/>
      <c r="U221" s="168"/>
    </row>
    <row r="222" customFormat="false" ht="20.1" hidden="true" customHeight="true" outlineLevel="1" collapsed="false">
      <c r="B222" s="56"/>
      <c r="C222" s="161"/>
      <c r="D222" s="161"/>
      <c r="E222" s="161"/>
      <c r="F222" s="169"/>
      <c r="G222" s="169"/>
      <c r="H222" s="161"/>
      <c r="I222" s="170" t="s">
        <v>94</v>
      </c>
      <c r="J222" s="141" t="n">
        <f aca="false">MAX(J218:J221)</f>
        <v>45</v>
      </c>
      <c r="K222" s="171"/>
      <c r="L222" s="166"/>
      <c r="M222" s="161"/>
      <c r="N222" s="144" t="s">
        <v>95</v>
      </c>
      <c r="O222" s="145" t="n">
        <f aca="false">SUM(O218:O221)</f>
        <v>1</v>
      </c>
      <c r="P222" s="146" t="n">
        <f aca="false">SUM(P218:P221)</f>
        <v>1</v>
      </c>
      <c r="Q222" s="145" t="n">
        <f aca="false">SUM(Q218:Q221)</f>
        <v>1</v>
      </c>
      <c r="R222" s="158" t="n">
        <f aca="false">SUM(R218:R221)</f>
        <v>1</v>
      </c>
      <c r="S222" s="172"/>
      <c r="T222" s="161"/>
      <c r="U222" s="168"/>
    </row>
    <row r="223" customFormat="false" ht="20.1" hidden="false" customHeight="true" outlineLevel="0" collapsed="false">
      <c r="B223" s="56"/>
      <c r="C223" s="161"/>
      <c r="D223" s="161"/>
      <c r="E223" s="161"/>
      <c r="F223" s="161"/>
      <c r="G223" s="161"/>
      <c r="H223" s="161"/>
      <c r="I223" s="161"/>
      <c r="J223" s="161"/>
      <c r="K223" s="161"/>
      <c r="L223" s="161"/>
      <c r="M223" s="161"/>
      <c r="N223" s="161"/>
      <c r="O223" s="161"/>
      <c r="P223" s="161"/>
      <c r="Q223" s="161"/>
      <c r="R223" s="161"/>
      <c r="S223" s="161"/>
      <c r="T223" s="161"/>
      <c r="U223" s="168"/>
    </row>
    <row r="224" customFormat="false" ht="20.1" hidden="false" customHeight="true" outlineLevel="0" collapsed="false">
      <c r="B224" s="56"/>
      <c r="D224" s="45"/>
      <c r="E224" s="45"/>
      <c r="F224" s="45"/>
      <c r="G224" s="45"/>
      <c r="H224" s="160"/>
      <c r="I224" s="45"/>
      <c r="J224" s="45"/>
      <c r="K224" s="45"/>
      <c r="U224" s="56"/>
    </row>
    <row r="225" customFormat="false" ht="20.1" hidden="false" customHeight="true" outlineLevel="0" collapsed="false">
      <c r="B225" s="56"/>
      <c r="C225" s="173"/>
      <c r="D225" s="173"/>
      <c r="E225" s="174" t="str">
        <f aca="false">IF(OR(M192="-",M192= ""),H192,M192)</f>
        <v>Great Western Trail</v>
      </c>
      <c r="F225" s="174"/>
      <c r="G225" s="174"/>
      <c r="H225" s="174"/>
      <c r="I225" s="174"/>
      <c r="J225" s="174"/>
      <c r="K225" s="174"/>
      <c r="L225" s="174"/>
      <c r="M225" s="174"/>
      <c r="N225" s="174"/>
      <c r="O225" s="175"/>
      <c r="P225" s="175"/>
      <c r="Q225" s="175"/>
      <c r="R225" s="175"/>
      <c r="S225" s="175"/>
      <c r="T225" s="173"/>
      <c r="U225" s="56"/>
    </row>
    <row r="226" customFormat="false" ht="50.1" hidden="false" customHeight="true" outlineLevel="0" collapsed="false">
      <c r="B226" s="56"/>
      <c r="C226" s="173"/>
      <c r="D226" s="175"/>
      <c r="E226" s="59" t="s">
        <v>48</v>
      </c>
      <c r="F226" s="109" t="s">
        <v>80</v>
      </c>
      <c r="G226" s="61" t="s">
        <v>81</v>
      </c>
      <c r="H226" s="60" t="s">
        <v>82</v>
      </c>
      <c r="I226" s="6" t="s">
        <v>83</v>
      </c>
      <c r="J226" s="60" t="s">
        <v>84</v>
      </c>
      <c r="K226" s="110" t="s">
        <v>85</v>
      </c>
      <c r="L226" s="60" t="s">
        <v>86</v>
      </c>
      <c r="M226" s="111" t="s">
        <v>87</v>
      </c>
      <c r="N226" s="61" t="s">
        <v>88</v>
      </c>
      <c r="O226" s="112" t="s">
        <v>89</v>
      </c>
      <c r="P226" s="113" t="s">
        <v>90</v>
      </c>
      <c r="Q226" s="113" t="s">
        <v>91</v>
      </c>
      <c r="R226" s="12" t="s">
        <v>92</v>
      </c>
      <c r="S226" s="175"/>
      <c r="T226" s="173"/>
      <c r="U226" s="56"/>
    </row>
    <row r="227" customFormat="false" ht="20.1" hidden="false" customHeight="true" outlineLevel="0" collapsed="false">
      <c r="B227" s="56"/>
      <c r="C227" s="173"/>
      <c r="D227" s="173"/>
      <c r="E227" s="67" t="s">
        <v>26</v>
      </c>
      <c r="F227" s="14" t="s">
        <v>27</v>
      </c>
      <c r="G227" s="258" t="n">
        <v>1</v>
      </c>
      <c r="H227" s="258" t="s">
        <v>62</v>
      </c>
      <c r="I227" s="258" t="n">
        <v>0</v>
      </c>
      <c r="J227" s="304" t="n">
        <v>64</v>
      </c>
      <c r="K227" s="258" t="s">
        <v>62</v>
      </c>
      <c r="L227" s="259" t="n">
        <f aca="false">IF(J227="",0,(J227/J231)*100)</f>
        <v>42.1052631578947</v>
      </c>
      <c r="M227" s="258" t="n">
        <v>3</v>
      </c>
      <c r="N227" s="260" t="n">
        <v>1</v>
      </c>
      <c r="O227" s="116" t="n">
        <f aca="false">IF(M227=1,1,0)</f>
        <v>0</v>
      </c>
      <c r="P227" s="117" t="n">
        <f aca="false">IF(M227=2,1,0)</f>
        <v>0</v>
      </c>
      <c r="Q227" s="117" t="n">
        <f aca="false">IF(M227=3,1,0)</f>
        <v>1</v>
      </c>
      <c r="R227" s="118" t="n">
        <f aca="false">IF(M227=4,1,0)</f>
        <v>0</v>
      </c>
      <c r="S227" s="176"/>
      <c r="T227" s="173"/>
      <c r="U227" s="56"/>
    </row>
    <row r="228" customFormat="false" ht="20.1" hidden="false" customHeight="true" outlineLevel="0" collapsed="false">
      <c r="B228" s="56"/>
      <c r="C228" s="173"/>
      <c r="D228" s="173"/>
      <c r="E228" s="77" t="s">
        <v>33</v>
      </c>
      <c r="F228" s="29" t="s">
        <v>34</v>
      </c>
      <c r="G228" s="248" t="n">
        <v>2</v>
      </c>
      <c r="H228" s="248" t="s">
        <v>62</v>
      </c>
      <c r="I228" s="248" t="n">
        <v>0</v>
      </c>
      <c r="J228" s="249" t="n">
        <v>51</v>
      </c>
      <c r="K228" s="249" t="s">
        <v>62</v>
      </c>
      <c r="L228" s="250" t="n">
        <f aca="false">IF(J228="",0,(J228/J231)*100)</f>
        <v>33.5526315789474</v>
      </c>
      <c r="M228" s="248" t="n">
        <v>4</v>
      </c>
      <c r="N228" s="251" t="n">
        <v>0</v>
      </c>
      <c r="O228" s="123" t="n">
        <f aca="false">IF(M228=1,1,0)</f>
        <v>0</v>
      </c>
      <c r="P228" s="124" t="n">
        <f aca="false">IF(M228=2,1,0)</f>
        <v>0</v>
      </c>
      <c r="Q228" s="124" t="n">
        <f aca="false">IF(M228=3,1,0)</f>
        <v>0</v>
      </c>
      <c r="R228" s="125" t="n">
        <f aca="false">IF(M228=4,1,0)</f>
        <v>1</v>
      </c>
      <c r="S228" s="176"/>
      <c r="T228" s="173"/>
      <c r="U228" s="56"/>
    </row>
    <row r="229" customFormat="false" ht="20.1" hidden="false" customHeight="true" outlineLevel="0" collapsed="false">
      <c r="B229" s="56"/>
      <c r="C229" s="173"/>
      <c r="D229" s="173"/>
      <c r="E229" s="485" t="s">
        <v>235</v>
      </c>
      <c r="F229" s="127" t="s">
        <v>236</v>
      </c>
      <c r="G229" s="128" t="n">
        <v>3</v>
      </c>
      <c r="H229" s="128" t="s">
        <v>62</v>
      </c>
      <c r="I229" s="128" t="n">
        <v>0</v>
      </c>
      <c r="J229" s="305" t="n">
        <v>152</v>
      </c>
      <c r="K229" s="305" t="s">
        <v>62</v>
      </c>
      <c r="L229" s="129" t="n">
        <f aca="false">IF(J229="",0,(J229/J231)*100)</f>
        <v>100</v>
      </c>
      <c r="M229" s="128" t="n">
        <v>1</v>
      </c>
      <c r="N229" s="130" t="n">
        <v>6</v>
      </c>
      <c r="O229" s="123" t="n">
        <f aca="false">IF(M229=1,1,0)</f>
        <v>1</v>
      </c>
      <c r="P229" s="124" t="n">
        <f aca="false">IF(M229=2,1,0)</f>
        <v>0</v>
      </c>
      <c r="Q229" s="124" t="n">
        <f aca="false">IF(M229=3,1,0)</f>
        <v>0</v>
      </c>
      <c r="R229" s="125" t="n">
        <f aca="false">IF(M229=4,1,0)</f>
        <v>0</v>
      </c>
      <c r="S229" s="176"/>
      <c r="T229" s="173"/>
      <c r="U229" s="56"/>
    </row>
    <row r="230" customFormat="false" ht="20.1" hidden="false" customHeight="true" outlineLevel="0" collapsed="false">
      <c r="B230" s="56"/>
      <c r="C230" s="173"/>
      <c r="D230" s="177"/>
      <c r="E230" s="252" t="s">
        <v>30</v>
      </c>
      <c r="F230" s="39" t="s">
        <v>31</v>
      </c>
      <c r="G230" s="253" t="n">
        <v>4</v>
      </c>
      <c r="H230" s="254" t="s">
        <v>62</v>
      </c>
      <c r="I230" s="253" t="n">
        <v>0</v>
      </c>
      <c r="J230" s="254" t="n">
        <v>111</v>
      </c>
      <c r="K230" s="254" t="s">
        <v>62</v>
      </c>
      <c r="L230" s="255" t="n">
        <f aca="false">IF(J230="",0,(J230/J231)*100)</f>
        <v>73.0263157894737</v>
      </c>
      <c r="M230" s="253" t="n">
        <v>2</v>
      </c>
      <c r="N230" s="256" t="n">
        <v>3</v>
      </c>
      <c r="O230" s="135" t="n">
        <f aca="false">IF(M230=1,1,0)</f>
        <v>0</v>
      </c>
      <c r="P230" s="136" t="n">
        <f aca="false">IF(M230=2,1,0)</f>
        <v>1</v>
      </c>
      <c r="Q230" s="136" t="n">
        <f aca="false">IF(M230=3,1,0)</f>
        <v>0</v>
      </c>
      <c r="R230" s="137" t="n">
        <f aca="false">IF(M230=4,1,0)</f>
        <v>0</v>
      </c>
      <c r="S230" s="176"/>
      <c r="T230" s="173"/>
      <c r="U230" s="56"/>
    </row>
    <row r="231" customFormat="false" ht="20.1" hidden="true" customHeight="true" outlineLevel="1" collapsed="false">
      <c r="B231" s="56"/>
      <c r="C231" s="173"/>
      <c r="D231" s="173"/>
      <c r="E231" s="173"/>
      <c r="F231" s="178"/>
      <c r="G231" s="178"/>
      <c r="H231" s="173"/>
      <c r="I231" s="170" t="s">
        <v>94</v>
      </c>
      <c r="J231" s="141" t="n">
        <f aca="false">MAX(J227:J230)</f>
        <v>152</v>
      </c>
      <c r="K231" s="179"/>
      <c r="L231" s="176"/>
      <c r="M231" s="173"/>
      <c r="N231" s="144" t="s">
        <v>95</v>
      </c>
      <c r="O231" s="145" t="n">
        <f aca="false">SUM(O227:O230)</f>
        <v>1</v>
      </c>
      <c r="P231" s="146" t="n">
        <f aca="false">SUM(P227:P230)</f>
        <v>1</v>
      </c>
      <c r="Q231" s="145" t="n">
        <f aca="false">SUM(Q227:Q230)</f>
        <v>1</v>
      </c>
      <c r="R231" s="158" t="n">
        <f aca="false">SUM(R227:R230)</f>
        <v>1</v>
      </c>
      <c r="S231" s="180"/>
      <c r="T231" s="173"/>
      <c r="U231" s="56"/>
    </row>
    <row r="232" customFormat="false" ht="20.1" hidden="false" customHeight="true" outlineLevel="0" collapsed="false">
      <c r="B232" s="56"/>
      <c r="C232" s="173"/>
      <c r="D232" s="173"/>
      <c r="E232" s="173"/>
      <c r="F232" s="173"/>
      <c r="G232" s="173"/>
      <c r="H232" s="173"/>
      <c r="I232" s="173"/>
      <c r="J232" s="173"/>
      <c r="K232" s="173"/>
      <c r="L232" s="173"/>
      <c r="M232" s="173"/>
      <c r="N232" s="173"/>
      <c r="O232" s="173"/>
      <c r="P232" s="173"/>
      <c r="Q232" s="173"/>
      <c r="R232" s="173"/>
      <c r="S232" s="173"/>
      <c r="T232" s="173"/>
      <c r="U232" s="56"/>
    </row>
    <row r="233" customFormat="false" ht="20.1" hidden="false" customHeight="true" outlineLevel="0" collapsed="false">
      <c r="B233" s="56"/>
      <c r="D233" s="5"/>
      <c r="E233" s="5"/>
      <c r="F233" s="5"/>
      <c r="G233" s="5"/>
      <c r="H233" s="5"/>
      <c r="I233" s="5"/>
      <c r="J233" s="5"/>
      <c r="U233" s="56"/>
    </row>
    <row r="234" customFormat="false" ht="30" hidden="false" customHeight="true" outlineLevel="0" collapsed="false">
      <c r="B234" s="56"/>
      <c r="C234" s="181"/>
      <c r="D234" s="182" t="s">
        <v>152</v>
      </c>
      <c r="E234" s="182"/>
      <c r="F234" s="182"/>
      <c r="G234" s="182"/>
      <c r="H234" s="182"/>
      <c r="I234" s="182"/>
      <c r="J234" s="182"/>
      <c r="K234" s="182"/>
      <c r="L234" s="182"/>
      <c r="M234" s="182"/>
      <c r="N234" s="182"/>
      <c r="O234" s="182"/>
      <c r="P234" s="182"/>
      <c r="Q234" s="182"/>
      <c r="R234" s="182"/>
      <c r="S234" s="182"/>
      <c r="T234" s="181"/>
      <c r="U234" s="56"/>
    </row>
    <row r="235" customFormat="false" ht="50.1" hidden="false" customHeight="true" outlineLevel="0" collapsed="false">
      <c r="B235" s="56"/>
      <c r="C235" s="181"/>
      <c r="D235" s="183" t="s">
        <v>48</v>
      </c>
      <c r="E235" s="184" t="s">
        <v>49</v>
      </c>
      <c r="F235" s="185" t="s">
        <v>88</v>
      </c>
      <c r="G235" s="186" t="s">
        <v>101</v>
      </c>
      <c r="H235" s="187" t="s">
        <v>102</v>
      </c>
      <c r="I235" s="187"/>
      <c r="J235" s="188" t="s">
        <v>103</v>
      </c>
      <c r="K235" s="189" t="s">
        <v>104</v>
      </c>
      <c r="L235" s="185" t="s">
        <v>105</v>
      </c>
      <c r="M235" s="189" t="s">
        <v>106</v>
      </c>
      <c r="N235" s="185" t="s">
        <v>107</v>
      </c>
      <c r="O235" s="190"/>
      <c r="P235" s="191"/>
      <c r="Q235" s="191"/>
      <c r="R235" s="191"/>
      <c r="S235" s="184" t="s">
        <v>108</v>
      </c>
      <c r="T235" s="181"/>
      <c r="U235" s="56"/>
    </row>
    <row r="236" customFormat="false" ht="20.1" hidden="false" customHeight="true" outlineLevel="0" collapsed="false">
      <c r="B236" s="56"/>
      <c r="C236" s="181"/>
      <c r="D236" s="306" t="s">
        <v>235</v>
      </c>
      <c r="E236" s="268" t="s">
        <v>236</v>
      </c>
      <c r="F236" s="269" t="n">
        <f aca="false">K236*6+L236*3+M236*1+N236*0</f>
        <v>17</v>
      </c>
      <c r="G236" s="270" t="n">
        <v>0</v>
      </c>
      <c r="H236" s="270" t="s">
        <v>62</v>
      </c>
      <c r="I236" s="270"/>
      <c r="J236" s="269" t="n">
        <f aca="false">F236+G236</f>
        <v>17</v>
      </c>
      <c r="K236" s="269" t="n">
        <v>2</v>
      </c>
      <c r="L236" s="486" t="n">
        <v>1.5</v>
      </c>
      <c r="M236" s="486" t="n">
        <v>0.5</v>
      </c>
      <c r="N236" s="269" t="n">
        <v>0</v>
      </c>
      <c r="O236" s="271"/>
      <c r="P236" s="270"/>
      <c r="Q236" s="270"/>
      <c r="R236" s="270"/>
      <c r="S236" s="272" t="n">
        <f aca="false">(L202+L211+L220+L229)/4</f>
        <v>72.3039215686275</v>
      </c>
      <c r="T236" s="181"/>
      <c r="U236" s="56"/>
    </row>
    <row r="237" customFormat="false" ht="20.1" hidden="false" customHeight="true" outlineLevel="0" collapsed="false">
      <c r="B237" s="56"/>
      <c r="C237" s="181"/>
      <c r="D237" s="273" t="s">
        <v>26</v>
      </c>
      <c r="E237" s="274" t="s">
        <v>27</v>
      </c>
      <c r="F237" s="275" t="n">
        <f aca="false">K237*6+L237*3+M237*1+N237*0</f>
        <v>16</v>
      </c>
      <c r="G237" s="276" t="n">
        <v>0</v>
      </c>
      <c r="H237" s="276" t="s">
        <v>62</v>
      </c>
      <c r="I237" s="276"/>
      <c r="J237" s="275" t="n">
        <f aca="false">F237+G237</f>
        <v>16</v>
      </c>
      <c r="K237" s="275" t="n">
        <v>2</v>
      </c>
      <c r="L237" s="275" t="n">
        <v>1</v>
      </c>
      <c r="M237" s="275" t="n">
        <v>1</v>
      </c>
      <c r="N237" s="275" t="n">
        <v>0</v>
      </c>
      <c r="O237" s="277"/>
      <c r="P237" s="276"/>
      <c r="Q237" s="276"/>
      <c r="R237" s="276"/>
      <c r="S237" s="278" t="n">
        <f aca="false">(L200+L209+L218+L227)/4</f>
        <v>84.4152046783626</v>
      </c>
      <c r="T237" s="181"/>
      <c r="U237" s="56"/>
      <c r="Y237" s="279"/>
      <c r="Z237" s="279"/>
      <c r="AA237" s="280"/>
      <c r="AB237" s="280"/>
      <c r="AC237" s="281"/>
      <c r="AD237" s="281"/>
      <c r="AE237" s="281"/>
    </row>
    <row r="238" customFormat="false" ht="20.1" hidden="false" customHeight="true" outlineLevel="0" collapsed="false">
      <c r="B238" s="56"/>
      <c r="C238" s="181"/>
      <c r="D238" s="273" t="s">
        <v>30</v>
      </c>
      <c r="E238" s="274" t="s">
        <v>31</v>
      </c>
      <c r="F238" s="275" t="n">
        <f aca="false">K238*6+L238*3+M238*1+N238*0</f>
        <v>5</v>
      </c>
      <c r="G238" s="276" t="n">
        <v>0</v>
      </c>
      <c r="H238" s="276" t="s">
        <v>62</v>
      </c>
      <c r="I238" s="276"/>
      <c r="J238" s="275" t="n">
        <f aca="false">F238+G238</f>
        <v>5</v>
      </c>
      <c r="K238" s="275" t="n">
        <v>0</v>
      </c>
      <c r="L238" s="487" t="n">
        <v>1.5</v>
      </c>
      <c r="M238" s="487" t="n">
        <v>0.5</v>
      </c>
      <c r="N238" s="275" t="n">
        <v>2</v>
      </c>
      <c r="O238" s="277"/>
      <c r="P238" s="276"/>
      <c r="Q238" s="276"/>
      <c r="R238" s="276"/>
      <c r="S238" s="278" t="n">
        <f aca="false">(L203++L212+L221+L230)/4</f>
        <v>33.6895854833161</v>
      </c>
      <c r="T238" s="181"/>
      <c r="U238" s="56"/>
    </row>
    <row r="239" customFormat="false" ht="20.1" hidden="false" customHeight="true" outlineLevel="0" collapsed="false">
      <c r="B239" s="56"/>
      <c r="C239" s="181"/>
      <c r="D239" s="282" t="s">
        <v>33</v>
      </c>
      <c r="E239" s="283" t="s">
        <v>34</v>
      </c>
      <c r="F239" s="284" t="n">
        <f aca="false">K239*6+L239*3+M239*1+N239*0</f>
        <v>2</v>
      </c>
      <c r="G239" s="285" t="n">
        <v>0</v>
      </c>
      <c r="H239" s="285" t="s">
        <v>62</v>
      </c>
      <c r="I239" s="285"/>
      <c r="J239" s="284" t="n">
        <f aca="false">F239+G239</f>
        <v>2</v>
      </c>
      <c r="K239" s="284" t="n">
        <v>0</v>
      </c>
      <c r="L239" s="284" t="n">
        <v>0</v>
      </c>
      <c r="M239" s="284" t="n">
        <v>2</v>
      </c>
      <c r="N239" s="284" t="n">
        <v>2</v>
      </c>
      <c r="O239" s="286"/>
      <c r="P239" s="285"/>
      <c r="Q239" s="285"/>
      <c r="R239" s="285"/>
      <c r="S239" s="287" t="n">
        <f aca="false">(L201+L210+L219+L228)/4</f>
        <v>49.1071121431029</v>
      </c>
      <c r="T239" s="181"/>
      <c r="U239" s="56"/>
    </row>
    <row r="240" customFormat="false" ht="20.1" hidden="false" customHeight="true" outlineLevel="0" collapsed="false">
      <c r="B240" s="56"/>
      <c r="C240" s="181"/>
      <c r="D240" s="307"/>
      <c r="E240" s="307"/>
      <c r="F240" s="288"/>
      <c r="G240" s="289"/>
      <c r="H240" s="290"/>
      <c r="I240" s="290"/>
      <c r="J240" s="288"/>
      <c r="K240" s="288"/>
      <c r="L240" s="288"/>
      <c r="M240" s="288"/>
      <c r="N240" s="288"/>
      <c r="O240" s="291"/>
      <c r="P240" s="289"/>
      <c r="Q240" s="289"/>
      <c r="R240" s="289"/>
      <c r="S240" s="292"/>
      <c r="T240" s="181"/>
      <c r="U240" s="56"/>
    </row>
    <row r="241" customFormat="false" ht="20.1" hidden="false" customHeight="true" outlineLevel="0" collapsed="false">
      <c r="B241" s="56"/>
      <c r="C241" s="56"/>
      <c r="D241" s="213"/>
      <c r="E241" s="213"/>
      <c r="F241" s="164"/>
      <c r="G241" s="164"/>
      <c r="H241" s="213"/>
      <c r="I241" s="213"/>
      <c r="J241" s="213"/>
      <c r="K241" s="56"/>
      <c r="L241" s="56"/>
      <c r="M241" s="56"/>
      <c r="N241" s="56"/>
      <c r="O241" s="56"/>
      <c r="P241" s="56"/>
      <c r="Q241" s="56"/>
      <c r="R241" s="56"/>
      <c r="S241" s="56"/>
      <c r="T241" s="56"/>
      <c r="U241" s="56"/>
    </row>
    <row r="242" customFormat="false" ht="20.1" hidden="false" customHeight="true" outlineLevel="0" collapsed="false"/>
  </sheetData>
  <mergeCells count="281">
    <mergeCell ref="A1:N2"/>
    <mergeCell ref="B4:H4"/>
    <mergeCell ref="J4:L4"/>
    <mergeCell ref="B5:C5"/>
    <mergeCell ref="B6:C6"/>
    <mergeCell ref="K6:K9"/>
    <mergeCell ref="B7:C7"/>
    <mergeCell ref="B8:C8"/>
    <mergeCell ref="B9:C9"/>
    <mergeCell ref="B10:C10"/>
    <mergeCell ref="K10:K13"/>
    <mergeCell ref="B11:C11"/>
    <mergeCell ref="B12:C12"/>
    <mergeCell ref="B13:C13"/>
    <mergeCell ref="B14:C14"/>
    <mergeCell ref="K14:K17"/>
    <mergeCell ref="B15:C15"/>
    <mergeCell ref="B16:C16"/>
    <mergeCell ref="B17:C17"/>
    <mergeCell ref="J18:K18"/>
    <mergeCell ref="B19:G19"/>
    <mergeCell ref="B20:C20"/>
    <mergeCell ref="B21:C21"/>
    <mergeCell ref="C24:T24"/>
    <mergeCell ref="D26:D27"/>
    <mergeCell ref="E26:E27"/>
    <mergeCell ref="F26:F27"/>
    <mergeCell ref="G26:J26"/>
    <mergeCell ref="L26:S26"/>
    <mergeCell ref="I27:J27"/>
    <mergeCell ref="N27:S27"/>
    <mergeCell ref="I28:J28"/>
    <mergeCell ref="N28:S28"/>
    <mergeCell ref="D29:D58"/>
    <mergeCell ref="E29:E58"/>
    <mergeCell ref="F29:F58"/>
    <mergeCell ref="G29:G58"/>
    <mergeCell ref="H29:H58"/>
    <mergeCell ref="I29:J29"/>
    <mergeCell ref="K29:K58"/>
    <mergeCell ref="L29:L58"/>
    <mergeCell ref="M29:M58"/>
    <mergeCell ref="N29:S29"/>
    <mergeCell ref="I30:J30"/>
    <mergeCell ref="N30:S30"/>
    <mergeCell ref="I31:J31"/>
    <mergeCell ref="N31:S31"/>
    <mergeCell ref="I32:J32"/>
    <mergeCell ref="N32:S32"/>
    <mergeCell ref="I33:J33"/>
    <mergeCell ref="N33:S33"/>
    <mergeCell ref="I34:J34"/>
    <mergeCell ref="N34:S34"/>
    <mergeCell ref="I35:J35"/>
    <mergeCell ref="N35:S35"/>
    <mergeCell ref="I36:J36"/>
    <mergeCell ref="N36:S36"/>
    <mergeCell ref="I37:J37"/>
    <mergeCell ref="N37:S37"/>
    <mergeCell ref="I38:J38"/>
    <mergeCell ref="N38:S38"/>
    <mergeCell ref="I39:J39"/>
    <mergeCell ref="N39:S39"/>
    <mergeCell ref="I40:J40"/>
    <mergeCell ref="N40:S40"/>
    <mergeCell ref="I41:J41"/>
    <mergeCell ref="N41:S41"/>
    <mergeCell ref="I42:J42"/>
    <mergeCell ref="N42:S42"/>
    <mergeCell ref="I43:J43"/>
    <mergeCell ref="N43:S43"/>
    <mergeCell ref="I44:J44"/>
    <mergeCell ref="N44:S44"/>
    <mergeCell ref="I45:J45"/>
    <mergeCell ref="N45:S45"/>
    <mergeCell ref="I46:J46"/>
    <mergeCell ref="N46:S46"/>
    <mergeCell ref="I47:J47"/>
    <mergeCell ref="N47:S47"/>
    <mergeCell ref="I48:J48"/>
    <mergeCell ref="N48:S48"/>
    <mergeCell ref="I49:J49"/>
    <mergeCell ref="N49:S49"/>
    <mergeCell ref="I50:J50"/>
    <mergeCell ref="N50:S50"/>
    <mergeCell ref="I51:J51"/>
    <mergeCell ref="N51:S51"/>
    <mergeCell ref="I52:J52"/>
    <mergeCell ref="N52:S52"/>
    <mergeCell ref="I53:J53"/>
    <mergeCell ref="N53:S53"/>
    <mergeCell ref="I54:J54"/>
    <mergeCell ref="N54:S54"/>
    <mergeCell ref="I55:J55"/>
    <mergeCell ref="N55:S55"/>
    <mergeCell ref="I56:J56"/>
    <mergeCell ref="N56:S56"/>
    <mergeCell ref="I57:J57"/>
    <mergeCell ref="N57:S57"/>
    <mergeCell ref="I58:J58"/>
    <mergeCell ref="N58:S58"/>
    <mergeCell ref="D59:D61"/>
    <mergeCell ref="E59:E61"/>
    <mergeCell ref="F59:F61"/>
    <mergeCell ref="G59:G61"/>
    <mergeCell ref="H59:H61"/>
    <mergeCell ref="I59:J59"/>
    <mergeCell ref="K59:K61"/>
    <mergeCell ref="L59:L61"/>
    <mergeCell ref="M59:M61"/>
    <mergeCell ref="N59:S61"/>
    <mergeCell ref="I60:J60"/>
    <mergeCell ref="I61:J61"/>
    <mergeCell ref="D62:D65"/>
    <mergeCell ref="E62:E65"/>
    <mergeCell ref="F62:F65"/>
    <mergeCell ref="G62:G65"/>
    <mergeCell ref="H62:H65"/>
    <mergeCell ref="I62:J62"/>
    <mergeCell ref="K62:K65"/>
    <mergeCell ref="L62:L65"/>
    <mergeCell ref="M62:M65"/>
    <mergeCell ref="N62:S65"/>
    <mergeCell ref="I63:J63"/>
    <mergeCell ref="I64:J64"/>
    <mergeCell ref="I65:J65"/>
    <mergeCell ref="E67:N67"/>
    <mergeCell ref="F73:G73"/>
    <mergeCell ref="F74:G74"/>
    <mergeCell ref="E76:N76"/>
    <mergeCell ref="F82:G82"/>
    <mergeCell ref="E85:N85"/>
    <mergeCell ref="F91:G91"/>
    <mergeCell ref="E94:N94"/>
    <mergeCell ref="F100:G100"/>
    <mergeCell ref="D103:S103"/>
    <mergeCell ref="H104:I104"/>
    <mergeCell ref="H105:I105"/>
    <mergeCell ref="H106:I106"/>
    <mergeCell ref="H107:I107"/>
    <mergeCell ref="H108:I108"/>
    <mergeCell ref="H109:I109"/>
    <mergeCell ref="C114:T114"/>
    <mergeCell ref="D116:D117"/>
    <mergeCell ref="E116:E117"/>
    <mergeCell ref="F116:F117"/>
    <mergeCell ref="G116:J116"/>
    <mergeCell ref="L116:S116"/>
    <mergeCell ref="I117:J117"/>
    <mergeCell ref="N117:S117"/>
    <mergeCell ref="D118:D126"/>
    <mergeCell ref="E118:E126"/>
    <mergeCell ref="F118:F126"/>
    <mergeCell ref="G118:G126"/>
    <mergeCell ref="H118:H126"/>
    <mergeCell ref="I118:J118"/>
    <mergeCell ref="K118:K126"/>
    <mergeCell ref="L118:L126"/>
    <mergeCell ref="M118:M126"/>
    <mergeCell ref="N118:S126"/>
    <mergeCell ref="I119:J119"/>
    <mergeCell ref="I120:J120"/>
    <mergeCell ref="I121:J121"/>
    <mergeCell ref="I122:J122"/>
    <mergeCell ref="I123:J123"/>
    <mergeCell ref="I124:J124"/>
    <mergeCell ref="I125:J125"/>
    <mergeCell ref="I126:J126"/>
    <mergeCell ref="D127:D128"/>
    <mergeCell ref="E127:E128"/>
    <mergeCell ref="F127:F128"/>
    <mergeCell ref="G127:G128"/>
    <mergeCell ref="H127:H128"/>
    <mergeCell ref="I127:J127"/>
    <mergeCell ref="K127:K128"/>
    <mergeCell ref="L127:L128"/>
    <mergeCell ref="M127:M128"/>
    <mergeCell ref="N127:S128"/>
    <mergeCell ref="I128:J128"/>
    <mergeCell ref="I129:J129"/>
    <mergeCell ref="N129:S129"/>
    <mergeCell ref="D130:D131"/>
    <mergeCell ref="E130:E131"/>
    <mergeCell ref="F130:F131"/>
    <mergeCell ref="G130:G131"/>
    <mergeCell ref="H130:H131"/>
    <mergeCell ref="I130:J130"/>
    <mergeCell ref="K130:K131"/>
    <mergeCell ref="L130:L131"/>
    <mergeCell ref="M130:M131"/>
    <mergeCell ref="N130:S131"/>
    <mergeCell ref="I131:J131"/>
    <mergeCell ref="E133:N133"/>
    <mergeCell ref="F139:G139"/>
    <mergeCell ref="E142:N142"/>
    <mergeCell ref="F148:G148"/>
    <mergeCell ref="E151:N151"/>
    <mergeCell ref="F157:G157"/>
    <mergeCell ref="E160:N160"/>
    <mergeCell ref="F166:G166"/>
    <mergeCell ref="D169:S169"/>
    <mergeCell ref="H170:I170"/>
    <mergeCell ref="H171:I171"/>
    <mergeCell ref="H172:I172"/>
    <mergeCell ref="Y172:Z172"/>
    <mergeCell ref="H173:I173"/>
    <mergeCell ref="H174:I174"/>
    <mergeCell ref="H175:I175"/>
    <mergeCell ref="C180:T180"/>
    <mergeCell ref="D182:D183"/>
    <mergeCell ref="E182:E183"/>
    <mergeCell ref="F182:F183"/>
    <mergeCell ref="G182:J182"/>
    <mergeCell ref="L182:S182"/>
    <mergeCell ref="I183:J183"/>
    <mergeCell ref="N183:S183"/>
    <mergeCell ref="D184:D185"/>
    <mergeCell ref="E184:E185"/>
    <mergeCell ref="F184:F185"/>
    <mergeCell ref="G184:G185"/>
    <mergeCell ref="H184:H185"/>
    <mergeCell ref="I184:J184"/>
    <mergeCell ref="K184:K185"/>
    <mergeCell ref="L184:L185"/>
    <mergeCell ref="M184:M185"/>
    <mergeCell ref="N184:S185"/>
    <mergeCell ref="I185:J185"/>
    <mergeCell ref="D186:D189"/>
    <mergeCell ref="E186:E189"/>
    <mergeCell ref="F186:F189"/>
    <mergeCell ref="G186:G189"/>
    <mergeCell ref="H186:H189"/>
    <mergeCell ref="I186:J186"/>
    <mergeCell ref="K186:K189"/>
    <mergeCell ref="L186:L189"/>
    <mergeCell ref="M186:M189"/>
    <mergeCell ref="N186:S189"/>
    <mergeCell ref="I187:J187"/>
    <mergeCell ref="I188:J188"/>
    <mergeCell ref="I189:J189"/>
    <mergeCell ref="D190:D191"/>
    <mergeCell ref="E190:E191"/>
    <mergeCell ref="F190:F191"/>
    <mergeCell ref="G190:G191"/>
    <mergeCell ref="H190:H191"/>
    <mergeCell ref="I190:J190"/>
    <mergeCell ref="K190:K191"/>
    <mergeCell ref="L190:L191"/>
    <mergeCell ref="M190:M191"/>
    <mergeCell ref="N190:S191"/>
    <mergeCell ref="I191:J191"/>
    <mergeCell ref="D192:D196"/>
    <mergeCell ref="E192:E196"/>
    <mergeCell ref="F192:F196"/>
    <mergeCell ref="G192:G196"/>
    <mergeCell ref="H192:H196"/>
    <mergeCell ref="I192:J192"/>
    <mergeCell ref="K192:K196"/>
    <mergeCell ref="L192:L196"/>
    <mergeCell ref="M192:M196"/>
    <mergeCell ref="N192:S196"/>
    <mergeCell ref="I193:J193"/>
    <mergeCell ref="I194:J194"/>
    <mergeCell ref="I195:J195"/>
    <mergeCell ref="I196:J196"/>
    <mergeCell ref="E198:N198"/>
    <mergeCell ref="F204:G204"/>
    <mergeCell ref="E207:N207"/>
    <mergeCell ref="F213:G213"/>
    <mergeCell ref="E216:N216"/>
    <mergeCell ref="F222:G222"/>
    <mergeCell ref="E225:N225"/>
    <mergeCell ref="F231:G231"/>
    <mergeCell ref="D234:S234"/>
    <mergeCell ref="H235:I235"/>
    <mergeCell ref="H236:I236"/>
    <mergeCell ref="H237:I237"/>
    <mergeCell ref="Y237:Z237"/>
    <mergeCell ref="H238:I238"/>
    <mergeCell ref="H239:I239"/>
    <mergeCell ref="H240:I240"/>
  </mergeCells>
  <conditionalFormatting sqref="B17:C17 B6:H11 B12:C12 H12 B13:H16 D17:H18 D21:G21">
    <cfRule type="expression" priority="2" aboveAverage="0" equalAverage="0" bottom="0" percent="0" rank="0" text="" dxfId="268">
      <formula>$H6="Nein"</formula>
    </cfRule>
    <cfRule type="expression" priority="3" aboveAverage="0" equalAverage="0" bottom="0" percent="0" rank="0" text="" dxfId="269">
      <formula>$H6="Ja"</formula>
    </cfRule>
  </conditionalFormatting>
  <conditionalFormatting sqref="D240:E240">
    <cfRule type="expression" priority="4" aboveAverage="0" equalAverage="0" bottom="0" percent="0" rank="0" text="" dxfId="270">
      <formula>$I240="Nein"</formula>
    </cfRule>
    <cfRule type="expression" priority="5" aboveAverage="0" equalAverage="0" bottom="0" percent="0" rank="0" text="" dxfId="271">
      <formula>$I240="Ja"</formula>
    </cfRule>
  </conditionalFormatting>
  <conditionalFormatting sqref="D109:E109">
    <cfRule type="expression" priority="6" aboveAverage="0" equalAverage="0" bottom="0" percent="0" rank="0" text="" dxfId="272">
      <formula>$I109="Nein"</formula>
    </cfRule>
    <cfRule type="expression" priority="7" aboveAverage="0" equalAverage="0" bottom="0" percent="0" rank="0" text="" dxfId="273">
      <formula>$I109="Ja"</formula>
    </cfRule>
  </conditionalFormatting>
  <conditionalFormatting sqref="D175:E175">
    <cfRule type="expression" priority="8" aboveAverage="0" equalAverage="0" bottom="0" percent="0" rank="0" text="" dxfId="274">
      <formula>$I175="Nein"</formula>
    </cfRule>
    <cfRule type="expression" priority="9" aboveAverage="0" equalAverage="0" bottom="0" percent="0" rank="0" text="" dxfId="275">
      <formula>$I175="Ja"</formula>
    </cfRule>
  </conditionalFormatting>
  <conditionalFormatting sqref="D105:E105">
    <cfRule type="expression" priority="10" aboveAverage="0" equalAverage="0" bottom="0" percent="0" rank="0" text="" dxfId="276">
      <formula>$H105="Nein"</formula>
    </cfRule>
    <cfRule type="expression" priority="11" aboveAverage="0" equalAverage="0" bottom="0" percent="0" rank="0" text="" dxfId="277">
      <formula>$H105="Ja"</formula>
    </cfRule>
  </conditionalFormatting>
  <conditionalFormatting sqref="D106:E106">
    <cfRule type="expression" priority="12" aboveAverage="0" equalAverage="0" bottom="0" percent="0" rank="0" text="" dxfId="278">
      <formula>$H106="Nein"</formula>
    </cfRule>
    <cfRule type="expression" priority="13" aboveAverage="0" equalAverage="0" bottom="0" percent="0" rank="0" text="" dxfId="279">
      <formula>$H106="Ja"</formula>
    </cfRule>
  </conditionalFormatting>
  <conditionalFormatting sqref="D108:E108">
    <cfRule type="expression" priority="14" aboveAverage="0" equalAverage="0" bottom="0" percent="0" rank="0" text="" dxfId="280">
      <formula>$H108="Nein"</formula>
    </cfRule>
    <cfRule type="expression" priority="15" aboveAverage="0" equalAverage="0" bottom="0" percent="0" rank="0" text="" dxfId="281">
      <formula>$H108="Ja"</formula>
    </cfRule>
  </conditionalFormatting>
  <conditionalFormatting sqref="D107:E107">
    <cfRule type="expression" priority="16" aboveAverage="0" equalAverage="0" bottom="0" percent="0" rank="0" text="" dxfId="282">
      <formula>$H107="Nein"</formula>
    </cfRule>
    <cfRule type="expression" priority="17" aboveAverage="0" equalAverage="0" bottom="0" percent="0" rank="0" text="" dxfId="283">
      <formula>$H107="Ja"</formula>
    </cfRule>
  </conditionalFormatting>
  <conditionalFormatting sqref="D236:E236">
    <cfRule type="expression" priority="18" aboveAverage="0" equalAverage="0" bottom="0" percent="0" rank="0" text="" dxfId="284">
      <formula>$H236="Nein"</formula>
    </cfRule>
    <cfRule type="expression" priority="19" aboveAverage="0" equalAverage="0" bottom="0" percent="0" rank="0" text="" dxfId="285">
      <formula>$H236="Ja"</formula>
    </cfRule>
  </conditionalFormatting>
  <conditionalFormatting sqref="D237:E237">
    <cfRule type="expression" priority="20" aboveAverage="0" equalAverage="0" bottom="0" percent="0" rank="0" text="" dxfId="286">
      <formula>$H237="Nein"</formula>
    </cfRule>
    <cfRule type="expression" priority="21" aboveAverage="0" equalAverage="0" bottom="0" percent="0" rank="0" text="" dxfId="287">
      <formula>$H237="Ja"</formula>
    </cfRule>
  </conditionalFormatting>
  <conditionalFormatting sqref="D239:E239">
    <cfRule type="expression" priority="22" aboveAverage="0" equalAverage="0" bottom="0" percent="0" rank="0" text="" dxfId="288">
      <formula>$H239="Nein"</formula>
    </cfRule>
    <cfRule type="expression" priority="23" aboveAverage="0" equalAverage="0" bottom="0" percent="0" rank="0" text="" dxfId="289">
      <formula>$H239="Ja"</formula>
    </cfRule>
  </conditionalFormatting>
  <conditionalFormatting sqref="D238:E238">
    <cfRule type="expression" priority="24" aboveAverage="0" equalAverage="0" bottom="0" percent="0" rank="0" text="" dxfId="290">
      <formula>$H238="Nein"</formula>
    </cfRule>
    <cfRule type="expression" priority="25" aboveAverage="0" equalAverage="0" bottom="0" percent="0" rank="0" text="" dxfId="291">
      <formula>$H238="Ja"</formula>
    </cfRule>
  </conditionalFormatting>
  <conditionalFormatting sqref="D171:E171">
    <cfRule type="expression" priority="26" aboveAverage="0" equalAverage="0" bottom="0" percent="0" rank="0" text="" dxfId="292">
      <formula>$H171="Nein"</formula>
    </cfRule>
    <cfRule type="expression" priority="27" aboveAverage="0" equalAverage="0" bottom="0" percent="0" rank="0" text="" dxfId="293">
      <formula>$H171="Ja"</formula>
    </cfRule>
  </conditionalFormatting>
  <conditionalFormatting sqref="D172:E172">
    <cfRule type="expression" priority="28" aboveAverage="0" equalAverage="0" bottom="0" percent="0" rank="0" text="" dxfId="294">
      <formula>$H172="Nein"</formula>
    </cfRule>
    <cfRule type="expression" priority="29" aboveAverage="0" equalAverage="0" bottom="0" percent="0" rank="0" text="" dxfId="295">
      <formula>$H172="Ja"</formula>
    </cfRule>
  </conditionalFormatting>
  <conditionalFormatting sqref="D174:E174">
    <cfRule type="expression" priority="30" aboveAverage="0" equalAverage="0" bottom="0" percent="0" rank="0" text="" dxfId="296">
      <formula>$H174="Nein"</formula>
    </cfRule>
    <cfRule type="expression" priority="31" aboveAverage="0" equalAverage="0" bottom="0" percent="0" rank="0" text="" dxfId="297">
      <formula>$H174="Ja"</formula>
    </cfRule>
  </conditionalFormatting>
  <conditionalFormatting sqref="D173:E173">
    <cfRule type="expression" priority="32" aboveAverage="0" equalAverage="0" bottom="0" percent="0" rank="0" text="" dxfId="298">
      <formula>$H173="Nein"</formula>
    </cfRule>
    <cfRule type="expression" priority="33" aboveAverage="0" equalAverage="0" bottom="0" percent="0" rank="0" text="" dxfId="299">
      <formula>$H173="Ja"</formula>
    </cfRule>
  </conditionalFormatting>
  <conditionalFormatting sqref="D12:G12">
    <cfRule type="expression" priority="34" aboveAverage="0" equalAverage="0" bottom="0" percent="0" rank="0" text="" dxfId="300">
      <formula>$H12="Nein"</formula>
    </cfRule>
    <cfRule type="expression" priority="35" aboveAverage="0" equalAverage="0" bottom="0" percent="0" rank="0" text="" dxfId="301">
      <formula>$H12="Ja"</formula>
    </cfRule>
  </conditionalFormatting>
  <conditionalFormatting sqref="E69:F72">
    <cfRule type="expression" priority="36" aboveAverage="0" equalAverage="0" bottom="0" percent="0" rank="0" text="" dxfId="302">
      <formula>$H69="Nein"</formula>
    </cfRule>
    <cfRule type="expression" priority="37" aboveAverage="0" equalAverage="0" bottom="0" percent="0" rank="0" text="" dxfId="303">
      <formula>$H69="Ja"</formula>
    </cfRule>
  </conditionalFormatting>
  <conditionalFormatting sqref="E78:F81">
    <cfRule type="expression" priority="38" aboveAverage="0" equalAverage="0" bottom="0" percent="0" rank="0" text="" dxfId="304">
      <formula>$H78="Nein"</formula>
    </cfRule>
    <cfRule type="expression" priority="39" aboveAverage="0" equalAverage="0" bottom="0" percent="0" rank="0" text="" dxfId="305">
      <formula>$H78="Ja"</formula>
    </cfRule>
  </conditionalFormatting>
  <conditionalFormatting sqref="E87:F90">
    <cfRule type="expression" priority="40" aboveAverage="0" equalAverage="0" bottom="0" percent="0" rank="0" text="" dxfId="306">
      <formula>$H87="Nein"</formula>
    </cfRule>
    <cfRule type="expression" priority="41" aboveAverage="0" equalAverage="0" bottom="0" percent="0" rank="0" text="" dxfId="307">
      <formula>$H87="Ja"</formula>
    </cfRule>
  </conditionalFormatting>
  <conditionalFormatting sqref="E96:F99">
    <cfRule type="expression" priority="42" aboveAverage="0" equalAverage="0" bottom="0" percent="0" rank="0" text="" dxfId="308">
      <formula>$H96="Nein"</formula>
    </cfRule>
    <cfRule type="expression" priority="43" aboveAverage="0" equalAverage="0" bottom="0" percent="0" rank="0" text="" dxfId="309">
      <formula>$H96="Ja"</formula>
    </cfRule>
  </conditionalFormatting>
  <conditionalFormatting sqref="E135:F136 E138:F138">
    <cfRule type="expression" priority="44" aboveAverage="0" equalAverage="0" bottom="0" percent="0" rank="0" text="" dxfId="310">
      <formula>$H135="Nein"</formula>
    </cfRule>
    <cfRule type="expression" priority="45" aboveAverage="0" equalAverage="0" bottom="0" percent="0" rank="0" text="" dxfId="311">
      <formula>$H135="Ja"</formula>
    </cfRule>
  </conditionalFormatting>
  <conditionalFormatting sqref="E137:F137">
    <cfRule type="expression" priority="46" aboveAverage="0" equalAverage="0" bottom="0" percent="0" rank="0" text="" dxfId="312">
      <formula>$H137="Nein"</formula>
    </cfRule>
    <cfRule type="expression" priority="47" aboveAverage="0" equalAverage="0" bottom="0" percent="0" rank="0" text="" dxfId="313">
      <formula>$H137="Ja"</formula>
    </cfRule>
  </conditionalFormatting>
  <conditionalFormatting sqref="E144:F145 E147:F147">
    <cfRule type="expression" priority="48" aboveAverage="0" equalAverage="0" bottom="0" percent="0" rank="0" text="" dxfId="314">
      <formula>$H144="Nein"</formula>
    </cfRule>
    <cfRule type="expression" priority="49" aboveAverage="0" equalAverage="0" bottom="0" percent="0" rank="0" text="" dxfId="315">
      <formula>$H144="Ja"</formula>
    </cfRule>
  </conditionalFormatting>
  <conditionalFormatting sqref="E146:F146">
    <cfRule type="expression" priority="50" aboveAverage="0" equalAverage="0" bottom="0" percent="0" rank="0" text="" dxfId="316">
      <formula>$H146="Nein"</formula>
    </cfRule>
    <cfRule type="expression" priority="51" aboveAverage="0" equalAverage="0" bottom="0" percent="0" rank="0" text="" dxfId="317">
      <formula>$H146="Ja"</formula>
    </cfRule>
  </conditionalFormatting>
  <conditionalFormatting sqref="E153:F154 E156:F156">
    <cfRule type="expression" priority="52" aboveAverage="0" equalAverage="0" bottom="0" percent="0" rank="0" text="" dxfId="318">
      <formula>$H153="Nein"</formula>
    </cfRule>
    <cfRule type="expression" priority="53" aboveAverage="0" equalAverage="0" bottom="0" percent="0" rank="0" text="" dxfId="319">
      <formula>$H153="Ja"</formula>
    </cfRule>
  </conditionalFormatting>
  <conditionalFormatting sqref="E155:F155">
    <cfRule type="expression" priority="54" aboveAverage="0" equalAverage="0" bottom="0" percent="0" rank="0" text="" dxfId="320">
      <formula>$H155="Nein"</formula>
    </cfRule>
    <cfRule type="expression" priority="55" aboveAverage="0" equalAverage="0" bottom="0" percent="0" rank="0" text="" dxfId="321">
      <formula>$H155="Ja"</formula>
    </cfRule>
  </conditionalFormatting>
  <conditionalFormatting sqref="E162:F163 E165:F165">
    <cfRule type="expression" priority="56" aboveAverage="0" equalAverage="0" bottom="0" percent="0" rank="0" text="" dxfId="322">
      <formula>$H162="Nein"</formula>
    </cfRule>
    <cfRule type="expression" priority="57" aboveAverage="0" equalAverage="0" bottom="0" percent="0" rank="0" text="" dxfId="323">
      <formula>$H162="Ja"</formula>
    </cfRule>
  </conditionalFormatting>
  <conditionalFormatting sqref="E164:F164">
    <cfRule type="expression" priority="58" aboveAverage="0" equalAverage="0" bottom="0" percent="0" rank="0" text="" dxfId="324">
      <formula>$H164="Nein"</formula>
    </cfRule>
    <cfRule type="expression" priority="59" aboveAverage="0" equalAverage="0" bottom="0" percent="0" rank="0" text="" dxfId="325">
      <formula>$H164="Ja"</formula>
    </cfRule>
  </conditionalFormatting>
  <conditionalFormatting sqref="E200:F203">
    <cfRule type="expression" priority="60" aboveAverage="0" equalAverage="0" bottom="0" percent="0" rank="0" text="" dxfId="326">
      <formula>$H200="Nein"</formula>
    </cfRule>
    <cfRule type="expression" priority="61" aboveAverage="0" equalAverage="0" bottom="0" percent="0" rank="0" text="" dxfId="327">
      <formula>$H200="Ja"</formula>
    </cfRule>
  </conditionalFormatting>
  <conditionalFormatting sqref="E209:F212">
    <cfRule type="expression" priority="62" aboveAverage="0" equalAverage="0" bottom="0" percent="0" rank="0" text="" dxfId="328">
      <formula>$H209="Nein"</formula>
    </cfRule>
    <cfRule type="expression" priority="63" aboveAverage="0" equalAverage="0" bottom="0" percent="0" rank="0" text="" dxfId="329">
      <formula>$H209="Ja"</formula>
    </cfRule>
  </conditionalFormatting>
  <conditionalFormatting sqref="E218:F221">
    <cfRule type="expression" priority="64" aboveAverage="0" equalAverage="0" bottom="0" percent="0" rank="0" text="" dxfId="330">
      <formula>$H218="Nein"</formula>
    </cfRule>
    <cfRule type="expression" priority="65" aboveAverage="0" equalAverage="0" bottom="0" percent="0" rank="0" text="" dxfId="331">
      <formula>$H218="Ja"</formula>
    </cfRule>
  </conditionalFormatting>
  <conditionalFormatting sqref="E227:F230">
    <cfRule type="expression" priority="66" aboveAverage="0" equalAverage="0" bottom="0" percent="0" rank="0" text="" dxfId="332">
      <formula>$H227="Nein"</formula>
    </cfRule>
    <cfRule type="expression" priority="67" aboveAverage="0" equalAverage="0" bottom="0" percent="0" rank="0" text="" dxfId="333">
      <formula>$H227="Ja"</formula>
    </cfRule>
  </conditionalFormatting>
  <dataValidations count="1">
    <dataValidation allowBlank="true" operator="between" showDropDown="false" showErrorMessage="true" showInputMessage="true" sqref="H6:H18"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A45"/>
  <sheetViews>
    <sheetView showFormulas="false" showGridLines="false" showRowColHeaders="true" showZeros="true" rightToLeft="false" tabSelected="false" showOutlineSymbols="true" defaultGridColor="true" view="normal" topLeftCell="A1" colorId="64" zoomScale="80" zoomScaleNormal="80" zoomScalePageLayoutView="100" workbookViewId="0">
      <selection pane="topLeft" activeCell="J24" activeCellId="0" sqref="J24"/>
    </sheetView>
  </sheetViews>
  <sheetFormatPr defaultColWidth="10.6875" defaultRowHeight="20.1" zeroHeight="false" outlineLevelRow="0" outlineLevelCol="0"/>
  <cols>
    <col collapsed="false" customWidth="true" hidden="false" outlineLevel="0" max="1" min="1" style="0" width="6.71"/>
    <col collapsed="false" customWidth="true" hidden="false" outlineLevel="0" max="2" min="2" style="488" width="7.57"/>
    <col collapsed="false" customWidth="true" hidden="false" outlineLevel="0" max="3" min="3" style="0" width="21.43"/>
    <col collapsed="false" customWidth="true" hidden="false" outlineLevel="0" max="5" min="4" style="0" width="17.71"/>
    <col collapsed="false" customWidth="true" hidden="false" outlineLevel="0" max="6" min="6" style="0" width="18.58"/>
    <col collapsed="false" customWidth="true" hidden="false" outlineLevel="0" max="22" min="7" style="0" width="14.7"/>
  </cols>
  <sheetData>
    <row r="1" customFormat="false" ht="20.1" hidden="false" customHeight="true" outlineLevel="0" collapsed="false">
      <c r="A1" s="489" t="s">
        <v>427</v>
      </c>
      <c r="B1" s="489"/>
      <c r="C1" s="489"/>
      <c r="D1" s="489"/>
      <c r="E1" s="489"/>
      <c r="F1" s="489"/>
      <c r="G1" s="489"/>
      <c r="H1" s="489"/>
      <c r="I1" s="489"/>
      <c r="J1" s="489"/>
      <c r="K1" s="489"/>
      <c r="L1" s="489"/>
      <c r="M1" s="489"/>
      <c r="N1" s="489"/>
      <c r="O1" s="489"/>
      <c r="P1" s="489"/>
      <c r="Q1" s="489"/>
      <c r="R1" s="489"/>
      <c r="S1" s="489"/>
      <c r="T1" s="489"/>
      <c r="U1" s="489"/>
      <c r="V1" s="489"/>
      <c r="W1" s="489"/>
      <c r="X1" s="490"/>
      <c r="Y1" s="490"/>
      <c r="Z1" s="490"/>
      <c r="AA1" s="490"/>
    </row>
    <row r="2" customFormat="false" ht="20.1" hidden="false" customHeight="true" outlineLevel="0" collapsed="false">
      <c r="A2" s="489"/>
      <c r="B2" s="489"/>
      <c r="C2" s="489"/>
      <c r="D2" s="489"/>
      <c r="E2" s="489"/>
      <c r="F2" s="489"/>
      <c r="G2" s="489"/>
      <c r="H2" s="489"/>
      <c r="I2" s="489"/>
      <c r="J2" s="489"/>
      <c r="K2" s="489"/>
      <c r="L2" s="489"/>
      <c r="M2" s="489"/>
      <c r="N2" s="489"/>
      <c r="O2" s="489"/>
      <c r="P2" s="489"/>
      <c r="Q2" s="489"/>
      <c r="R2" s="489"/>
      <c r="S2" s="489"/>
      <c r="T2" s="489"/>
      <c r="U2" s="489"/>
      <c r="V2" s="489"/>
      <c r="W2" s="489"/>
      <c r="X2" s="490"/>
      <c r="Y2" s="490"/>
      <c r="Z2" s="490"/>
      <c r="AA2" s="490"/>
    </row>
    <row r="3" s="493" customFormat="true" ht="35.1" hidden="false" customHeight="true" outlineLevel="0" collapsed="false">
      <c r="A3" s="491" t="s">
        <v>428</v>
      </c>
      <c r="B3" s="491"/>
      <c r="C3" s="491"/>
      <c r="D3" s="491"/>
      <c r="E3" s="491"/>
      <c r="F3" s="491"/>
      <c r="G3" s="491"/>
      <c r="H3" s="491"/>
      <c r="I3" s="491"/>
      <c r="J3" s="491"/>
      <c r="K3" s="491"/>
      <c r="L3" s="491"/>
      <c r="M3" s="491"/>
      <c r="N3" s="491"/>
      <c r="O3" s="491"/>
      <c r="P3" s="491"/>
      <c r="Q3" s="491"/>
      <c r="R3" s="491"/>
      <c r="S3" s="491"/>
      <c r="T3" s="491"/>
      <c r="U3" s="491"/>
      <c r="V3" s="491"/>
      <c r="W3" s="491"/>
      <c r="X3" s="492"/>
      <c r="Y3" s="492"/>
      <c r="Z3" s="492"/>
      <c r="AA3" s="492"/>
    </row>
    <row r="4" customFormat="false" ht="20.1" hidden="false" customHeight="true" outlineLevel="0" collapsed="false">
      <c r="A4" s="490"/>
      <c r="B4" s="494"/>
      <c r="C4" s="490"/>
      <c r="D4" s="490"/>
      <c r="E4" s="490"/>
      <c r="F4" s="490"/>
      <c r="G4" s="490"/>
      <c r="H4" s="490"/>
      <c r="I4" s="490"/>
      <c r="J4" s="490"/>
      <c r="K4" s="490"/>
      <c r="L4" s="490"/>
      <c r="M4" s="490"/>
      <c r="N4" s="490"/>
      <c r="O4" s="490"/>
      <c r="P4" s="490"/>
      <c r="Q4" s="490"/>
      <c r="R4" s="490"/>
      <c r="S4" s="490"/>
      <c r="T4" s="490"/>
      <c r="U4" s="490"/>
      <c r="V4" s="490"/>
      <c r="W4" s="490"/>
      <c r="X4" s="490"/>
      <c r="Y4" s="490"/>
      <c r="Z4" s="490"/>
      <c r="AA4" s="490"/>
    </row>
    <row r="5" s="5" customFormat="true" ht="35.1" hidden="false" customHeight="true" outlineLevel="0" collapsed="false">
      <c r="A5" s="495"/>
      <c r="B5" s="113" t="s">
        <v>429</v>
      </c>
      <c r="C5" s="496" t="s">
        <v>4</v>
      </c>
      <c r="D5" s="497" t="s">
        <v>430</v>
      </c>
      <c r="E5" s="497" t="s">
        <v>431</v>
      </c>
      <c r="F5" s="498" t="s">
        <v>7</v>
      </c>
      <c r="G5" s="496" t="s">
        <v>432</v>
      </c>
      <c r="H5" s="499" t="s">
        <v>433</v>
      </c>
      <c r="I5" s="499" t="s">
        <v>434</v>
      </c>
      <c r="J5" s="500" t="s">
        <v>435</v>
      </c>
      <c r="K5" s="501" t="s">
        <v>436</v>
      </c>
      <c r="L5" s="499" t="s">
        <v>437</v>
      </c>
      <c r="M5" s="499" t="s">
        <v>438</v>
      </c>
      <c r="N5" s="500" t="s">
        <v>439</v>
      </c>
      <c r="O5" s="501" t="s">
        <v>440</v>
      </c>
      <c r="P5" s="499" t="s">
        <v>441</v>
      </c>
      <c r="Q5" s="499" t="s">
        <v>442</v>
      </c>
      <c r="R5" s="500" t="s">
        <v>443</v>
      </c>
      <c r="S5" s="501" t="s">
        <v>444</v>
      </c>
      <c r="T5" s="499" t="s">
        <v>445</v>
      </c>
      <c r="U5" s="499" t="s">
        <v>446</v>
      </c>
      <c r="V5" s="500" t="s">
        <v>447</v>
      </c>
      <c r="W5" s="495"/>
      <c r="X5" s="495"/>
      <c r="Y5" s="495"/>
      <c r="Z5" s="495"/>
      <c r="AA5" s="495"/>
    </row>
    <row r="6" s="21" customFormat="true" ht="35.1" hidden="false" customHeight="true" outlineLevel="0" collapsed="false">
      <c r="A6" s="502"/>
      <c r="B6" s="503" t="n">
        <v>1</v>
      </c>
      <c r="C6" s="504" t="s">
        <v>17</v>
      </c>
      <c r="D6" s="505" t="s">
        <v>18</v>
      </c>
      <c r="E6" s="505" t="s">
        <v>19</v>
      </c>
      <c r="F6" s="506" t="s">
        <v>19</v>
      </c>
      <c r="G6" s="507" t="s">
        <v>448</v>
      </c>
      <c r="H6" s="508" t="s">
        <v>449</v>
      </c>
      <c r="I6" s="508" t="s">
        <v>450</v>
      </c>
      <c r="J6" s="509" t="s">
        <v>62</v>
      </c>
      <c r="K6" s="510" t="s">
        <v>62</v>
      </c>
      <c r="L6" s="508" t="s">
        <v>62</v>
      </c>
      <c r="M6" s="508" t="s">
        <v>62</v>
      </c>
      <c r="N6" s="511" t="s">
        <v>62</v>
      </c>
      <c r="O6" s="512" t="s">
        <v>62</v>
      </c>
      <c r="P6" s="505" t="s">
        <v>62</v>
      </c>
      <c r="Q6" s="505" t="s">
        <v>62</v>
      </c>
      <c r="R6" s="511" t="s">
        <v>62</v>
      </c>
      <c r="S6" s="512" t="s">
        <v>62</v>
      </c>
      <c r="T6" s="505" t="s">
        <v>62</v>
      </c>
      <c r="U6" s="505" t="s">
        <v>62</v>
      </c>
      <c r="V6" s="506" t="s">
        <v>62</v>
      </c>
      <c r="W6" s="502"/>
      <c r="X6" s="502"/>
      <c r="Y6" s="502"/>
      <c r="Z6" s="502"/>
      <c r="AA6" s="502"/>
    </row>
    <row r="7" s="21" customFormat="true" ht="35.1" hidden="false" customHeight="true" outlineLevel="0" collapsed="false">
      <c r="A7" s="502"/>
      <c r="B7" s="513" t="n">
        <v>2</v>
      </c>
      <c r="C7" s="514" t="s">
        <v>15</v>
      </c>
      <c r="D7" s="515" t="s">
        <v>16</v>
      </c>
      <c r="E7" s="515" t="s">
        <v>16</v>
      </c>
      <c r="F7" s="516" t="s">
        <v>16</v>
      </c>
      <c r="G7" s="517" t="s">
        <v>450</v>
      </c>
      <c r="H7" s="518" t="s">
        <v>451</v>
      </c>
      <c r="I7" s="518" t="s">
        <v>452</v>
      </c>
      <c r="J7" s="519" t="s">
        <v>453</v>
      </c>
      <c r="K7" s="520" t="s">
        <v>449</v>
      </c>
      <c r="L7" s="515" t="s">
        <v>62</v>
      </c>
      <c r="M7" s="515" t="s">
        <v>62</v>
      </c>
      <c r="N7" s="521" t="s">
        <v>62</v>
      </c>
      <c r="O7" s="522" t="s">
        <v>62</v>
      </c>
      <c r="P7" s="515" t="s">
        <v>62</v>
      </c>
      <c r="Q7" s="515" t="s">
        <v>62</v>
      </c>
      <c r="R7" s="521" t="s">
        <v>62</v>
      </c>
      <c r="S7" s="522" t="s">
        <v>62</v>
      </c>
      <c r="T7" s="515" t="s">
        <v>62</v>
      </c>
      <c r="U7" s="515" t="s">
        <v>62</v>
      </c>
      <c r="V7" s="516" t="s">
        <v>62</v>
      </c>
      <c r="W7" s="502"/>
      <c r="X7" s="502"/>
      <c r="Y7" s="502"/>
      <c r="Z7" s="502"/>
      <c r="AA7" s="502"/>
    </row>
    <row r="8" s="21" customFormat="true" ht="35.1" hidden="false" customHeight="true" outlineLevel="0" collapsed="false">
      <c r="A8" s="502"/>
      <c r="B8" s="523" t="n">
        <v>3</v>
      </c>
      <c r="C8" s="524" t="s">
        <v>37</v>
      </c>
      <c r="D8" s="525" t="s">
        <v>38</v>
      </c>
      <c r="E8" s="526" t="s">
        <v>38</v>
      </c>
      <c r="F8" s="527" t="s">
        <v>38</v>
      </c>
      <c r="G8" s="528" t="s">
        <v>449</v>
      </c>
      <c r="H8" s="529" t="s">
        <v>62</v>
      </c>
      <c r="I8" s="529" t="s">
        <v>62</v>
      </c>
      <c r="J8" s="530" t="s">
        <v>452</v>
      </c>
      <c r="K8" s="531" t="s">
        <v>454</v>
      </c>
      <c r="L8" s="526" t="s">
        <v>62</v>
      </c>
      <c r="M8" s="526" t="s">
        <v>62</v>
      </c>
      <c r="N8" s="530" t="s">
        <v>62</v>
      </c>
      <c r="O8" s="531" t="s">
        <v>451</v>
      </c>
      <c r="P8" s="526" t="s">
        <v>62</v>
      </c>
      <c r="Q8" s="526" t="s">
        <v>62</v>
      </c>
      <c r="R8" s="530" t="s">
        <v>62</v>
      </c>
      <c r="S8" s="532" t="s">
        <v>62</v>
      </c>
      <c r="T8" s="526" t="s">
        <v>62</v>
      </c>
      <c r="U8" s="526" t="s">
        <v>62</v>
      </c>
      <c r="V8" s="527" t="s">
        <v>62</v>
      </c>
      <c r="W8" s="502"/>
      <c r="X8" s="502"/>
      <c r="Y8" s="502"/>
      <c r="Z8" s="502"/>
      <c r="AA8" s="502"/>
    </row>
    <row r="9" s="21" customFormat="true" ht="35.1" hidden="false" customHeight="true" outlineLevel="0" collapsed="false">
      <c r="A9" s="502"/>
      <c r="B9" s="533" t="n">
        <v>4</v>
      </c>
      <c r="C9" s="534" t="s">
        <v>11</v>
      </c>
      <c r="D9" s="535" t="s">
        <v>12</v>
      </c>
      <c r="E9" s="536" t="s">
        <v>12</v>
      </c>
      <c r="F9" s="537" t="s">
        <v>12</v>
      </c>
      <c r="G9" s="538" t="s">
        <v>62</v>
      </c>
      <c r="H9" s="536" t="s">
        <v>454</v>
      </c>
      <c r="I9" s="536" t="s">
        <v>451</v>
      </c>
      <c r="J9" s="539" t="s">
        <v>449</v>
      </c>
      <c r="K9" s="540" t="s">
        <v>452</v>
      </c>
      <c r="L9" s="541" t="s">
        <v>62</v>
      </c>
      <c r="M9" s="536" t="s">
        <v>62</v>
      </c>
      <c r="N9" s="539" t="s">
        <v>62</v>
      </c>
      <c r="O9" s="540" t="s">
        <v>62</v>
      </c>
      <c r="P9" s="536" t="s">
        <v>62</v>
      </c>
      <c r="Q9" s="536" t="s">
        <v>62</v>
      </c>
      <c r="R9" s="539" t="s">
        <v>62</v>
      </c>
      <c r="S9" s="540" t="s">
        <v>62</v>
      </c>
      <c r="T9" s="536" t="s">
        <v>62</v>
      </c>
      <c r="U9" s="541" t="s">
        <v>62</v>
      </c>
      <c r="V9" s="542" t="s">
        <v>62</v>
      </c>
      <c r="W9" s="502"/>
      <c r="X9" s="502"/>
      <c r="Y9" s="502"/>
      <c r="Z9" s="502"/>
      <c r="AA9" s="502"/>
    </row>
    <row r="10" s="21" customFormat="true" ht="35.1" hidden="false" customHeight="true" outlineLevel="0" collapsed="false">
      <c r="A10" s="502"/>
      <c r="B10" s="543" t="n">
        <v>5</v>
      </c>
      <c r="C10" s="544" t="s">
        <v>20</v>
      </c>
      <c r="D10" s="545" t="s">
        <v>21</v>
      </c>
      <c r="E10" s="545" t="s">
        <v>21</v>
      </c>
      <c r="F10" s="546" t="s">
        <v>21</v>
      </c>
      <c r="G10" s="547" t="s">
        <v>62</v>
      </c>
      <c r="H10" s="427" t="s">
        <v>452</v>
      </c>
      <c r="I10" s="427" t="s">
        <v>62</v>
      </c>
      <c r="J10" s="548" t="s">
        <v>455</v>
      </c>
      <c r="K10" s="549" t="s">
        <v>62</v>
      </c>
      <c r="L10" s="427" t="s">
        <v>456</v>
      </c>
      <c r="M10" s="427" t="s">
        <v>62</v>
      </c>
      <c r="N10" s="548" t="s">
        <v>62</v>
      </c>
      <c r="O10" s="549" t="s">
        <v>62</v>
      </c>
      <c r="P10" s="427" t="s">
        <v>62</v>
      </c>
      <c r="Q10" s="121" t="s">
        <v>62</v>
      </c>
      <c r="R10" s="550" t="s">
        <v>62</v>
      </c>
      <c r="S10" s="549" t="s">
        <v>62</v>
      </c>
      <c r="T10" s="121" t="s">
        <v>62</v>
      </c>
      <c r="U10" s="121" t="s">
        <v>62</v>
      </c>
      <c r="V10" s="26" t="s">
        <v>62</v>
      </c>
      <c r="W10" s="502"/>
      <c r="X10" s="502"/>
      <c r="Y10" s="502"/>
      <c r="Z10" s="502"/>
      <c r="AA10" s="502"/>
    </row>
    <row r="11" s="21" customFormat="true" ht="35.1" hidden="false" customHeight="true" outlineLevel="0" collapsed="false">
      <c r="A11" s="502"/>
      <c r="B11" s="543" t="n">
        <v>6</v>
      </c>
      <c r="C11" s="544" t="s">
        <v>22</v>
      </c>
      <c r="D11" s="545" t="s">
        <v>23</v>
      </c>
      <c r="E11" s="427" t="s">
        <v>23</v>
      </c>
      <c r="F11" s="546" t="s">
        <v>23</v>
      </c>
      <c r="G11" s="547" t="s">
        <v>62</v>
      </c>
      <c r="H11" s="427" t="s">
        <v>62</v>
      </c>
      <c r="I11" s="427" t="s">
        <v>456</v>
      </c>
      <c r="J11" s="548" t="s">
        <v>62</v>
      </c>
      <c r="K11" s="549" t="s">
        <v>451</v>
      </c>
      <c r="L11" s="427" t="s">
        <v>62</v>
      </c>
      <c r="M11" s="427" t="s">
        <v>62</v>
      </c>
      <c r="N11" s="548" t="s">
        <v>62</v>
      </c>
      <c r="O11" s="549" t="s">
        <v>62</v>
      </c>
      <c r="P11" s="121" t="s">
        <v>62</v>
      </c>
      <c r="Q11" s="427" t="s">
        <v>62</v>
      </c>
      <c r="R11" s="550" t="s">
        <v>62</v>
      </c>
      <c r="S11" s="549" t="s">
        <v>62</v>
      </c>
      <c r="T11" s="121" t="s">
        <v>62</v>
      </c>
      <c r="U11" s="427" t="s">
        <v>62</v>
      </c>
      <c r="V11" s="26" t="s">
        <v>62</v>
      </c>
      <c r="W11" s="502"/>
      <c r="X11" s="502"/>
      <c r="Y11" s="502"/>
      <c r="Z11" s="502"/>
      <c r="AA11" s="502"/>
    </row>
    <row r="12" s="21" customFormat="true" ht="35.1" hidden="false" customHeight="true" outlineLevel="0" collapsed="false">
      <c r="A12" s="502"/>
      <c r="B12" s="543" t="n">
        <v>7</v>
      </c>
      <c r="C12" s="544" t="s">
        <v>24</v>
      </c>
      <c r="D12" s="545" t="s">
        <v>25</v>
      </c>
      <c r="E12" s="545" t="s">
        <v>25</v>
      </c>
      <c r="F12" s="546" t="s">
        <v>25</v>
      </c>
      <c r="G12" s="547" t="s">
        <v>62</v>
      </c>
      <c r="H12" s="427" t="s">
        <v>62</v>
      </c>
      <c r="I12" s="427" t="s">
        <v>62</v>
      </c>
      <c r="J12" s="548" t="s">
        <v>62</v>
      </c>
      <c r="K12" s="549" t="s">
        <v>62</v>
      </c>
      <c r="L12" s="427" t="s">
        <v>457</v>
      </c>
      <c r="M12" s="427" t="s">
        <v>62</v>
      </c>
      <c r="N12" s="548" t="s">
        <v>451</v>
      </c>
      <c r="O12" s="549" t="s">
        <v>449</v>
      </c>
      <c r="P12" s="427" t="s">
        <v>62</v>
      </c>
      <c r="Q12" s="427" t="s">
        <v>453</v>
      </c>
      <c r="R12" s="550" t="s">
        <v>62</v>
      </c>
      <c r="S12" s="549" t="s">
        <v>62</v>
      </c>
      <c r="T12" s="121" t="s">
        <v>62</v>
      </c>
      <c r="U12" s="121" t="s">
        <v>62</v>
      </c>
      <c r="V12" s="26" t="s">
        <v>62</v>
      </c>
      <c r="W12" s="502"/>
      <c r="X12" s="502"/>
      <c r="Y12" s="502"/>
      <c r="Z12" s="502"/>
      <c r="AA12" s="502"/>
    </row>
    <row r="13" s="21" customFormat="true" ht="35.1" hidden="false" customHeight="true" outlineLevel="0" collapsed="false">
      <c r="A13" s="502"/>
      <c r="B13" s="543" t="n">
        <v>8</v>
      </c>
      <c r="C13" s="551" t="s">
        <v>28</v>
      </c>
      <c r="D13" s="248" t="s">
        <v>29</v>
      </c>
      <c r="E13" s="427" t="s">
        <v>29</v>
      </c>
      <c r="F13" s="546" t="s">
        <v>13</v>
      </c>
      <c r="G13" s="547" t="s">
        <v>62</v>
      </c>
      <c r="H13" s="121" t="s">
        <v>62</v>
      </c>
      <c r="I13" s="121" t="s">
        <v>62</v>
      </c>
      <c r="J13" s="548" t="s">
        <v>62</v>
      </c>
      <c r="K13" s="549" t="s">
        <v>62</v>
      </c>
      <c r="L13" s="427" t="s">
        <v>451</v>
      </c>
      <c r="M13" s="427" t="s">
        <v>62</v>
      </c>
      <c r="N13" s="548" t="s">
        <v>453</v>
      </c>
      <c r="O13" s="549" t="s">
        <v>62</v>
      </c>
      <c r="P13" s="427" t="s">
        <v>62</v>
      </c>
      <c r="Q13" s="427" t="s">
        <v>452</v>
      </c>
      <c r="R13" s="548" t="s">
        <v>449</v>
      </c>
      <c r="S13" s="549" t="s">
        <v>62</v>
      </c>
      <c r="T13" s="427" t="s">
        <v>62</v>
      </c>
      <c r="U13" s="121" t="s">
        <v>62</v>
      </c>
      <c r="V13" s="552" t="s">
        <v>62</v>
      </c>
      <c r="W13" s="502"/>
      <c r="X13" s="502"/>
      <c r="Y13" s="502"/>
      <c r="Z13" s="502"/>
      <c r="AA13" s="502"/>
    </row>
    <row r="14" s="21" customFormat="true" ht="35.1" hidden="false" customHeight="true" outlineLevel="0" collapsed="false">
      <c r="A14" s="502"/>
      <c r="B14" s="543" t="n">
        <v>9</v>
      </c>
      <c r="C14" s="551" t="s">
        <v>26</v>
      </c>
      <c r="D14" s="248" t="s">
        <v>27</v>
      </c>
      <c r="E14" s="427" t="s">
        <v>27</v>
      </c>
      <c r="F14" s="546" t="s">
        <v>27</v>
      </c>
      <c r="G14" s="123" t="s">
        <v>62</v>
      </c>
      <c r="H14" s="427" t="s">
        <v>62</v>
      </c>
      <c r="I14" s="427" t="s">
        <v>62</v>
      </c>
      <c r="J14" s="548" t="s">
        <v>62</v>
      </c>
      <c r="K14" s="549" t="s">
        <v>62</v>
      </c>
      <c r="L14" s="427" t="s">
        <v>62</v>
      </c>
      <c r="M14" s="427" t="s">
        <v>458</v>
      </c>
      <c r="N14" s="548" t="s">
        <v>452</v>
      </c>
      <c r="O14" s="549" t="s">
        <v>62</v>
      </c>
      <c r="P14" s="427" t="s">
        <v>450</v>
      </c>
      <c r="Q14" s="427" t="s">
        <v>62</v>
      </c>
      <c r="R14" s="550" t="s">
        <v>62</v>
      </c>
      <c r="S14" s="549" t="s">
        <v>62</v>
      </c>
      <c r="T14" s="427" t="s">
        <v>62</v>
      </c>
      <c r="U14" s="427" t="s">
        <v>62</v>
      </c>
      <c r="V14" s="26" t="s">
        <v>62</v>
      </c>
      <c r="W14" s="502"/>
      <c r="X14" s="502"/>
      <c r="Y14" s="502"/>
      <c r="Z14" s="502"/>
      <c r="AA14" s="502"/>
    </row>
    <row r="15" s="21" customFormat="true" ht="35.1" hidden="false" customHeight="true" outlineLevel="0" collapsed="false">
      <c r="A15" s="502"/>
      <c r="B15" s="543" t="n">
        <v>9</v>
      </c>
      <c r="C15" s="551" t="s">
        <v>459</v>
      </c>
      <c r="D15" s="248" t="s">
        <v>160</v>
      </c>
      <c r="E15" s="427" t="s">
        <v>160</v>
      </c>
      <c r="F15" s="546" t="s">
        <v>13</v>
      </c>
      <c r="G15" s="123" t="s">
        <v>62</v>
      </c>
      <c r="H15" s="121" t="s">
        <v>62</v>
      </c>
      <c r="I15" s="121" t="s">
        <v>62</v>
      </c>
      <c r="J15" s="550" t="s">
        <v>62</v>
      </c>
      <c r="K15" s="549" t="s">
        <v>62</v>
      </c>
      <c r="L15" s="121" t="s">
        <v>62</v>
      </c>
      <c r="M15" s="427" t="s">
        <v>452</v>
      </c>
      <c r="N15" s="548" t="s">
        <v>450</v>
      </c>
      <c r="O15" s="549" t="s">
        <v>62</v>
      </c>
      <c r="P15" s="427" t="s">
        <v>449</v>
      </c>
      <c r="Q15" s="427" t="s">
        <v>62</v>
      </c>
      <c r="R15" s="548" t="s">
        <v>62</v>
      </c>
      <c r="S15" s="549" t="s">
        <v>62</v>
      </c>
      <c r="T15" s="427" t="s">
        <v>62</v>
      </c>
      <c r="U15" s="427" t="s">
        <v>62</v>
      </c>
      <c r="V15" s="552" t="s">
        <v>62</v>
      </c>
      <c r="W15" s="502"/>
      <c r="X15" s="502"/>
      <c r="Y15" s="502"/>
      <c r="Z15" s="502"/>
      <c r="AA15" s="502"/>
    </row>
    <row r="16" s="21" customFormat="true" ht="35.1" hidden="false" customHeight="true" outlineLevel="0" collapsed="false">
      <c r="A16" s="502"/>
      <c r="B16" s="543" t="n">
        <v>11</v>
      </c>
      <c r="C16" s="551" t="s">
        <v>35</v>
      </c>
      <c r="D16" s="248" t="s">
        <v>36</v>
      </c>
      <c r="E16" s="427" t="s">
        <v>36</v>
      </c>
      <c r="F16" s="546" t="s">
        <v>36</v>
      </c>
      <c r="G16" s="123" t="s">
        <v>62</v>
      </c>
      <c r="H16" s="121" t="s">
        <v>62</v>
      </c>
      <c r="I16" s="121" t="s">
        <v>62</v>
      </c>
      <c r="J16" s="548" t="s">
        <v>62</v>
      </c>
      <c r="K16" s="549" t="s">
        <v>62</v>
      </c>
      <c r="L16" s="427" t="s">
        <v>62</v>
      </c>
      <c r="M16" s="427" t="s">
        <v>450</v>
      </c>
      <c r="N16" s="548" t="s">
        <v>62</v>
      </c>
      <c r="O16" s="549" t="s">
        <v>452</v>
      </c>
      <c r="P16" s="427" t="s">
        <v>460</v>
      </c>
      <c r="Q16" s="427" t="s">
        <v>449</v>
      </c>
      <c r="R16" s="550" t="s">
        <v>62</v>
      </c>
      <c r="S16" s="549" t="s">
        <v>62</v>
      </c>
      <c r="T16" s="427" t="s">
        <v>62</v>
      </c>
      <c r="U16" s="427" t="s">
        <v>62</v>
      </c>
      <c r="V16" s="26" t="s">
        <v>62</v>
      </c>
      <c r="W16" s="502"/>
      <c r="X16" s="502"/>
      <c r="Y16" s="502"/>
      <c r="Z16" s="502"/>
      <c r="AA16" s="502"/>
    </row>
    <row r="17" s="21" customFormat="true" ht="35.1" hidden="false" customHeight="true" outlineLevel="0" collapsed="false">
      <c r="A17" s="502"/>
      <c r="B17" s="543" t="n">
        <v>12</v>
      </c>
      <c r="C17" s="551" t="s">
        <v>33</v>
      </c>
      <c r="D17" s="248" t="s">
        <v>34</v>
      </c>
      <c r="E17" s="427" t="s">
        <v>34</v>
      </c>
      <c r="F17" s="546" t="s">
        <v>34</v>
      </c>
      <c r="G17" s="123" t="s">
        <v>62</v>
      </c>
      <c r="H17" s="427" t="s">
        <v>62</v>
      </c>
      <c r="I17" s="121" t="s">
        <v>62</v>
      </c>
      <c r="J17" s="548" t="s">
        <v>62</v>
      </c>
      <c r="K17" s="549" t="s">
        <v>62</v>
      </c>
      <c r="L17" s="427" t="s">
        <v>62</v>
      </c>
      <c r="M17" s="427" t="s">
        <v>62</v>
      </c>
      <c r="N17" s="548" t="s">
        <v>449</v>
      </c>
      <c r="O17" s="549" t="s">
        <v>453</v>
      </c>
      <c r="P17" s="427" t="s">
        <v>452</v>
      </c>
      <c r="Q17" s="427" t="s">
        <v>451</v>
      </c>
      <c r="R17" s="548" t="s">
        <v>450</v>
      </c>
      <c r="S17" s="549" t="s">
        <v>62</v>
      </c>
      <c r="T17" s="427" t="s">
        <v>62</v>
      </c>
      <c r="U17" s="121" t="s">
        <v>62</v>
      </c>
      <c r="V17" s="552" t="s">
        <v>62</v>
      </c>
      <c r="W17" s="502"/>
      <c r="X17" s="502"/>
      <c r="Y17" s="502"/>
      <c r="Z17" s="502"/>
      <c r="AA17" s="502"/>
    </row>
    <row r="18" s="21" customFormat="true" ht="35.1" hidden="false" customHeight="true" outlineLevel="0" collapsed="false">
      <c r="A18" s="502"/>
      <c r="B18" s="543" t="n">
        <v>13</v>
      </c>
      <c r="C18" s="551" t="s">
        <v>235</v>
      </c>
      <c r="D18" s="248" t="s">
        <v>236</v>
      </c>
      <c r="E18" s="427" t="s">
        <v>236</v>
      </c>
      <c r="F18" s="546" t="s">
        <v>13</v>
      </c>
      <c r="G18" s="123" t="s">
        <v>62</v>
      </c>
      <c r="H18" s="121" t="s">
        <v>62</v>
      </c>
      <c r="I18" s="121" t="s">
        <v>62</v>
      </c>
      <c r="J18" s="548" t="s">
        <v>62</v>
      </c>
      <c r="K18" s="549" t="s">
        <v>62</v>
      </c>
      <c r="L18" s="427" t="s">
        <v>62</v>
      </c>
      <c r="M18" s="427" t="s">
        <v>62</v>
      </c>
      <c r="N18" s="548" t="s">
        <v>62</v>
      </c>
      <c r="O18" s="549" t="s">
        <v>450</v>
      </c>
      <c r="P18" s="427" t="s">
        <v>62</v>
      </c>
      <c r="Q18" s="427" t="s">
        <v>62</v>
      </c>
      <c r="R18" s="548" t="s">
        <v>62</v>
      </c>
      <c r="S18" s="549" t="s">
        <v>452</v>
      </c>
      <c r="T18" s="427" t="s">
        <v>62</v>
      </c>
      <c r="U18" s="121" t="s">
        <v>62</v>
      </c>
      <c r="V18" s="552" t="s">
        <v>62</v>
      </c>
      <c r="W18" s="502"/>
      <c r="X18" s="502"/>
      <c r="Y18" s="502"/>
      <c r="Z18" s="502"/>
      <c r="AA18" s="502"/>
    </row>
    <row r="19" s="21" customFormat="true" ht="35.1" hidden="false" customHeight="true" outlineLevel="0" collapsed="false">
      <c r="A19" s="502"/>
      <c r="B19" s="543" t="n">
        <v>14</v>
      </c>
      <c r="C19" s="551" t="s">
        <v>30</v>
      </c>
      <c r="D19" s="248" t="s">
        <v>31</v>
      </c>
      <c r="E19" s="427" t="s">
        <v>31</v>
      </c>
      <c r="F19" s="546" t="s">
        <v>31</v>
      </c>
      <c r="G19" s="547" t="s">
        <v>62</v>
      </c>
      <c r="H19" s="427" t="s">
        <v>62</v>
      </c>
      <c r="I19" s="427" t="s">
        <v>62</v>
      </c>
      <c r="J19" s="548" t="s">
        <v>62</v>
      </c>
      <c r="K19" s="549" t="s">
        <v>62</v>
      </c>
      <c r="L19" s="427" t="s">
        <v>62</v>
      </c>
      <c r="M19" s="427" t="s">
        <v>62</v>
      </c>
      <c r="N19" s="548" t="s">
        <v>62</v>
      </c>
      <c r="O19" s="549" t="s">
        <v>62</v>
      </c>
      <c r="P19" s="121" t="s">
        <v>62</v>
      </c>
      <c r="Q19" s="427" t="s">
        <v>450</v>
      </c>
      <c r="R19" s="548" t="s">
        <v>451</v>
      </c>
      <c r="S19" s="549" t="s">
        <v>62</v>
      </c>
      <c r="T19" s="427" t="s">
        <v>452</v>
      </c>
      <c r="U19" s="121" t="s">
        <v>62</v>
      </c>
      <c r="V19" s="26" t="s">
        <v>62</v>
      </c>
      <c r="W19" s="502"/>
      <c r="X19" s="502"/>
      <c r="Y19" s="502"/>
      <c r="Z19" s="502"/>
      <c r="AA19" s="502"/>
    </row>
    <row r="20" s="21" customFormat="true" ht="35.1" hidden="false" customHeight="true" outlineLevel="0" collapsed="false">
      <c r="A20" s="502"/>
      <c r="B20" s="543" t="n">
        <v>14</v>
      </c>
      <c r="C20" s="551" t="s">
        <v>42</v>
      </c>
      <c r="D20" s="248" t="s">
        <v>43</v>
      </c>
      <c r="E20" s="427" t="s">
        <v>43</v>
      </c>
      <c r="F20" s="546" t="s">
        <v>43</v>
      </c>
      <c r="G20" s="123" t="s">
        <v>62</v>
      </c>
      <c r="H20" s="121" t="s">
        <v>62</v>
      </c>
      <c r="I20" s="121" t="s">
        <v>62</v>
      </c>
      <c r="J20" s="548" t="s">
        <v>62</v>
      </c>
      <c r="K20" s="549" t="s">
        <v>62</v>
      </c>
      <c r="L20" s="427" t="s">
        <v>62</v>
      </c>
      <c r="M20" s="427" t="s">
        <v>62</v>
      </c>
      <c r="N20" s="548" t="s">
        <v>62</v>
      </c>
      <c r="O20" s="549" t="s">
        <v>62</v>
      </c>
      <c r="P20" s="427" t="s">
        <v>62</v>
      </c>
      <c r="Q20" s="427" t="s">
        <v>62</v>
      </c>
      <c r="R20" s="548" t="s">
        <v>62</v>
      </c>
      <c r="S20" s="549" t="s">
        <v>453</v>
      </c>
      <c r="T20" s="427" t="s">
        <v>62</v>
      </c>
      <c r="U20" s="121" t="s">
        <v>62</v>
      </c>
      <c r="V20" s="552" t="s">
        <v>62</v>
      </c>
      <c r="W20" s="502"/>
      <c r="X20" s="502"/>
      <c r="Y20" s="502"/>
      <c r="Z20" s="502"/>
      <c r="AA20" s="502"/>
    </row>
    <row r="21" s="21" customFormat="true" ht="35.1" hidden="false" customHeight="true" outlineLevel="0" collapsed="false">
      <c r="A21" s="502"/>
      <c r="B21" s="543" t="n">
        <v>16</v>
      </c>
      <c r="C21" s="551" t="s">
        <v>44</v>
      </c>
      <c r="D21" s="248" t="s">
        <v>45</v>
      </c>
      <c r="E21" s="427" t="s">
        <v>46</v>
      </c>
      <c r="F21" s="546" t="s">
        <v>45</v>
      </c>
      <c r="G21" s="123" t="s">
        <v>62</v>
      </c>
      <c r="H21" s="121" t="s">
        <v>62</v>
      </c>
      <c r="I21" s="121" t="s">
        <v>62</v>
      </c>
      <c r="J21" s="550" t="s">
        <v>62</v>
      </c>
      <c r="K21" s="549" t="s">
        <v>62</v>
      </c>
      <c r="L21" s="121" t="s">
        <v>62</v>
      </c>
      <c r="M21" s="427"/>
      <c r="N21" s="548" t="s">
        <v>62</v>
      </c>
      <c r="O21" s="549" t="s">
        <v>62</v>
      </c>
      <c r="P21" s="427" t="s">
        <v>62</v>
      </c>
      <c r="Q21" s="427" t="s">
        <v>62</v>
      </c>
      <c r="R21" s="548" t="s">
        <v>62</v>
      </c>
      <c r="S21" s="549" t="s">
        <v>62</v>
      </c>
      <c r="T21" s="427" t="s">
        <v>453</v>
      </c>
      <c r="U21" s="427" t="s">
        <v>62</v>
      </c>
      <c r="V21" s="552" t="s">
        <v>62</v>
      </c>
      <c r="W21" s="502"/>
      <c r="X21" s="502"/>
      <c r="Y21" s="502"/>
      <c r="Z21" s="502"/>
      <c r="AA21" s="502"/>
    </row>
    <row r="22" s="21" customFormat="true" ht="35.1" hidden="false" customHeight="true" outlineLevel="0" collapsed="false">
      <c r="A22" s="502"/>
      <c r="B22" s="543" t="n">
        <v>17</v>
      </c>
      <c r="C22" s="551"/>
      <c r="D22" s="248"/>
      <c r="E22" s="427"/>
      <c r="F22" s="546"/>
      <c r="G22" s="553" t="s">
        <v>62</v>
      </c>
      <c r="H22" s="554" t="s">
        <v>62</v>
      </c>
      <c r="I22" s="554" t="s">
        <v>62</v>
      </c>
      <c r="J22" s="397" t="s">
        <v>62</v>
      </c>
      <c r="K22" s="555" t="s">
        <v>62</v>
      </c>
      <c r="L22" s="554" t="s">
        <v>62</v>
      </c>
      <c r="M22" s="554" t="s">
        <v>62</v>
      </c>
      <c r="N22" s="397" t="s">
        <v>62</v>
      </c>
      <c r="O22" s="556" t="s">
        <v>62</v>
      </c>
      <c r="P22" s="557" t="s">
        <v>62</v>
      </c>
      <c r="Q22" s="557" t="s">
        <v>62</v>
      </c>
      <c r="R22" s="558" t="s">
        <v>62</v>
      </c>
      <c r="S22" s="555" t="s">
        <v>62</v>
      </c>
      <c r="T22" s="557" t="s">
        <v>62</v>
      </c>
      <c r="U22" s="554" t="s">
        <v>62</v>
      </c>
      <c r="V22" s="559" t="s">
        <v>62</v>
      </c>
      <c r="W22" s="502"/>
      <c r="X22" s="502"/>
      <c r="Y22" s="502"/>
      <c r="Z22" s="502"/>
      <c r="AA22" s="502"/>
    </row>
    <row r="23" s="21" customFormat="true" ht="35.1" hidden="false" customHeight="true" outlineLevel="0" collapsed="false">
      <c r="A23" s="502"/>
      <c r="B23" s="560" t="n">
        <v>18</v>
      </c>
      <c r="C23" s="561"/>
      <c r="D23" s="253"/>
      <c r="E23" s="562"/>
      <c r="F23" s="44"/>
      <c r="G23" s="135" t="s">
        <v>62</v>
      </c>
      <c r="H23" s="133" t="s">
        <v>62</v>
      </c>
      <c r="I23" s="133" t="s">
        <v>62</v>
      </c>
      <c r="J23" s="377" t="s">
        <v>62</v>
      </c>
      <c r="K23" s="563" t="s">
        <v>62</v>
      </c>
      <c r="L23" s="133" t="s">
        <v>62</v>
      </c>
      <c r="M23" s="133" t="s">
        <v>62</v>
      </c>
      <c r="N23" s="377" t="s">
        <v>62</v>
      </c>
      <c r="O23" s="136" t="s">
        <v>62</v>
      </c>
      <c r="P23" s="154" t="s">
        <v>62</v>
      </c>
      <c r="Q23" s="154" t="s">
        <v>62</v>
      </c>
      <c r="R23" s="564" t="s">
        <v>62</v>
      </c>
      <c r="S23" s="136" t="s">
        <v>62</v>
      </c>
      <c r="T23" s="154" t="s">
        <v>62</v>
      </c>
      <c r="U23" s="133" t="s">
        <v>62</v>
      </c>
      <c r="V23" s="565" t="s">
        <v>62</v>
      </c>
      <c r="W23" s="502"/>
      <c r="X23" s="502"/>
      <c r="Y23" s="502"/>
      <c r="Z23" s="502"/>
      <c r="AA23" s="502"/>
    </row>
    <row r="24" s="21" customFormat="true" ht="35.1" hidden="false" customHeight="true" outlineLevel="0" collapsed="false">
      <c r="A24" s="502"/>
      <c r="B24" s="495"/>
      <c r="C24" s="502"/>
      <c r="D24" s="502"/>
      <c r="E24" s="502"/>
      <c r="F24" s="502"/>
      <c r="G24" s="502"/>
      <c r="H24" s="502"/>
      <c r="I24" s="502"/>
      <c r="J24" s="502"/>
      <c r="K24" s="502"/>
      <c r="L24" s="502"/>
      <c r="M24" s="502"/>
      <c r="N24" s="502"/>
      <c r="O24" s="502"/>
      <c r="P24" s="502"/>
      <c r="Q24" s="502"/>
      <c r="R24" s="502"/>
      <c r="S24" s="502"/>
      <c r="T24" s="502"/>
      <c r="U24" s="502"/>
      <c r="V24" s="502"/>
      <c r="W24" s="502"/>
      <c r="X24" s="502"/>
      <c r="Y24" s="502"/>
      <c r="Z24" s="502"/>
      <c r="AA24" s="502"/>
    </row>
    <row r="25" s="21" customFormat="true" ht="35.1" hidden="false" customHeight="true" outlineLevel="0" collapsed="false">
      <c r="A25" s="502"/>
      <c r="B25" s="495"/>
      <c r="C25" s="502"/>
      <c r="D25" s="502"/>
      <c r="E25" s="502"/>
      <c r="F25" s="502"/>
      <c r="G25" s="502"/>
      <c r="H25" s="502"/>
      <c r="I25" s="502"/>
      <c r="J25" s="502"/>
      <c r="K25" s="502"/>
      <c r="L25" s="502"/>
      <c r="M25" s="502"/>
      <c r="N25" s="502"/>
      <c r="O25" s="502"/>
      <c r="P25" s="502"/>
      <c r="Q25" s="502"/>
      <c r="R25" s="502"/>
      <c r="S25" s="502"/>
      <c r="T25" s="502"/>
      <c r="U25" s="502"/>
      <c r="V25" s="502"/>
      <c r="W25" s="502"/>
      <c r="X25" s="502"/>
      <c r="Y25" s="502"/>
      <c r="Z25" s="502"/>
      <c r="AA25" s="502"/>
    </row>
    <row r="26" s="21" customFormat="true" ht="35.1" hidden="false" customHeight="true" outlineLevel="0" collapsed="false">
      <c r="A26" s="502"/>
      <c r="B26" s="495"/>
      <c r="C26" s="502"/>
      <c r="D26" s="502"/>
      <c r="E26" s="502"/>
      <c r="F26" s="502"/>
      <c r="G26" s="502"/>
      <c r="H26" s="502"/>
      <c r="I26" s="502"/>
      <c r="J26" s="502"/>
      <c r="K26" s="502"/>
      <c r="L26" s="502"/>
      <c r="M26" s="502"/>
      <c r="N26" s="502"/>
      <c r="O26" s="502"/>
      <c r="P26" s="502"/>
      <c r="Q26" s="502"/>
      <c r="R26" s="502"/>
      <c r="S26" s="502"/>
      <c r="T26" s="502"/>
      <c r="U26" s="502"/>
      <c r="V26" s="502"/>
      <c r="W26" s="502"/>
      <c r="X26" s="502"/>
      <c r="Y26" s="502"/>
      <c r="Z26" s="502"/>
      <c r="AA26" s="502"/>
    </row>
    <row r="27" customFormat="false" ht="20.1" hidden="false" customHeight="true" outlineLevel="0" collapsed="false">
      <c r="A27" s="490"/>
      <c r="B27" s="494"/>
      <c r="C27" s="490"/>
      <c r="D27" s="490"/>
      <c r="E27" s="490"/>
      <c r="F27" s="490"/>
      <c r="G27" s="490"/>
      <c r="H27" s="490"/>
      <c r="I27" s="490"/>
      <c r="J27" s="490"/>
      <c r="K27" s="490"/>
      <c r="L27" s="490"/>
      <c r="M27" s="490"/>
      <c r="N27" s="490"/>
      <c r="O27" s="490"/>
      <c r="P27" s="490"/>
      <c r="Q27" s="490"/>
      <c r="R27" s="490"/>
      <c r="S27" s="490"/>
      <c r="T27" s="490"/>
      <c r="U27" s="490"/>
      <c r="V27" s="490"/>
      <c r="W27" s="490"/>
      <c r="X27" s="490"/>
      <c r="Y27" s="490"/>
      <c r="Z27" s="490"/>
      <c r="AA27" s="490"/>
    </row>
    <row r="28" customFormat="false" ht="20.1" hidden="false" customHeight="true" outlineLevel="0" collapsed="false">
      <c r="A28" s="490"/>
      <c r="B28" s="494"/>
      <c r="C28" s="490"/>
      <c r="D28" s="490"/>
      <c r="E28" s="490"/>
      <c r="F28" s="490"/>
      <c r="G28" s="490"/>
      <c r="H28" s="490"/>
      <c r="I28" s="490"/>
      <c r="J28" s="490"/>
      <c r="K28" s="490"/>
      <c r="L28" s="490"/>
      <c r="M28" s="490"/>
      <c r="N28" s="490"/>
      <c r="O28" s="490"/>
      <c r="P28" s="490"/>
      <c r="Q28" s="490"/>
      <c r="R28" s="490"/>
      <c r="S28" s="490"/>
      <c r="T28" s="490"/>
      <c r="U28" s="490"/>
      <c r="V28" s="490"/>
      <c r="W28" s="490"/>
      <c r="X28" s="490"/>
      <c r="Y28" s="490"/>
      <c r="Z28" s="490"/>
      <c r="AA28" s="490"/>
    </row>
    <row r="29" customFormat="false" ht="20.1" hidden="false" customHeight="true" outlineLevel="0" collapsed="false">
      <c r="A29" s="490"/>
      <c r="B29" s="494"/>
      <c r="C29" s="490"/>
      <c r="D29" s="490"/>
      <c r="E29" s="490"/>
      <c r="F29" s="490"/>
      <c r="G29" s="490"/>
      <c r="H29" s="490"/>
      <c r="I29" s="490"/>
      <c r="J29" s="490"/>
      <c r="K29" s="490"/>
      <c r="L29" s="490"/>
      <c r="M29" s="490"/>
      <c r="N29" s="490"/>
      <c r="O29" s="490"/>
      <c r="P29" s="490"/>
      <c r="Q29" s="490"/>
      <c r="R29" s="490"/>
      <c r="S29" s="490"/>
      <c r="T29" s="490"/>
      <c r="U29" s="490"/>
      <c r="V29" s="490"/>
      <c r="W29" s="490"/>
      <c r="X29" s="490"/>
      <c r="Y29" s="490"/>
      <c r="Z29" s="490"/>
      <c r="AA29" s="490"/>
    </row>
    <row r="30" customFormat="false" ht="20.1" hidden="false" customHeight="true" outlineLevel="0" collapsed="false">
      <c r="A30" s="490"/>
      <c r="B30" s="494"/>
      <c r="C30" s="490"/>
      <c r="D30" s="490"/>
      <c r="E30" s="490"/>
      <c r="F30" s="490"/>
      <c r="G30" s="490"/>
      <c r="H30" s="490"/>
      <c r="I30" s="490"/>
      <c r="J30" s="490"/>
      <c r="K30" s="490"/>
      <c r="L30" s="490"/>
      <c r="M30" s="490"/>
      <c r="N30" s="490"/>
      <c r="O30" s="490"/>
      <c r="P30" s="490"/>
      <c r="Q30" s="490"/>
      <c r="R30" s="490"/>
      <c r="S30" s="490"/>
      <c r="T30" s="490"/>
      <c r="U30" s="490"/>
      <c r="V30" s="490"/>
      <c r="W30" s="490"/>
      <c r="X30" s="490"/>
      <c r="Y30" s="490"/>
      <c r="Z30" s="490"/>
      <c r="AA30" s="490"/>
    </row>
    <row r="31" customFormat="false" ht="20.1" hidden="false" customHeight="true" outlineLevel="0" collapsed="false">
      <c r="A31" s="490"/>
      <c r="B31" s="494"/>
      <c r="C31" s="490"/>
      <c r="D31" s="490"/>
      <c r="E31" s="490"/>
      <c r="F31" s="490"/>
      <c r="G31" s="490"/>
      <c r="H31" s="490"/>
      <c r="I31" s="490"/>
      <c r="J31" s="490"/>
      <c r="K31" s="490"/>
      <c r="L31" s="490"/>
      <c r="M31" s="490"/>
      <c r="N31" s="490"/>
      <c r="O31" s="490"/>
      <c r="P31" s="490"/>
      <c r="Q31" s="490"/>
      <c r="R31" s="490"/>
      <c r="S31" s="490"/>
      <c r="T31" s="490"/>
      <c r="U31" s="490"/>
      <c r="V31" s="490"/>
      <c r="W31" s="490"/>
      <c r="X31" s="490"/>
      <c r="Y31" s="490"/>
      <c r="Z31" s="490"/>
      <c r="AA31" s="490"/>
    </row>
    <row r="32" customFormat="false" ht="20.1" hidden="false" customHeight="true" outlineLevel="0" collapsed="false">
      <c r="A32" s="490"/>
      <c r="B32" s="494"/>
      <c r="C32" s="490"/>
      <c r="D32" s="490"/>
      <c r="E32" s="490"/>
      <c r="F32" s="490"/>
      <c r="G32" s="490"/>
      <c r="H32" s="490"/>
      <c r="I32" s="490"/>
      <c r="J32" s="490"/>
      <c r="K32" s="490"/>
      <c r="L32" s="490"/>
      <c r="M32" s="490"/>
      <c r="N32" s="490"/>
      <c r="O32" s="490"/>
      <c r="P32" s="490"/>
      <c r="Q32" s="490"/>
      <c r="R32" s="490"/>
      <c r="S32" s="490"/>
      <c r="T32" s="490"/>
      <c r="U32" s="490"/>
      <c r="V32" s="490"/>
      <c r="W32" s="490"/>
      <c r="X32" s="490"/>
      <c r="Y32" s="490"/>
      <c r="Z32" s="490"/>
      <c r="AA32" s="490"/>
    </row>
    <row r="33" customFormat="false" ht="20.1" hidden="false" customHeight="true" outlineLevel="0" collapsed="false">
      <c r="A33" s="490"/>
      <c r="B33" s="494"/>
      <c r="C33" s="490"/>
      <c r="D33" s="490"/>
      <c r="E33" s="490"/>
      <c r="F33" s="490"/>
      <c r="G33" s="490"/>
      <c r="H33" s="490"/>
      <c r="I33" s="490"/>
      <c r="J33" s="490"/>
      <c r="K33" s="490"/>
      <c r="L33" s="490"/>
      <c r="M33" s="490"/>
      <c r="N33" s="490"/>
      <c r="O33" s="490"/>
      <c r="P33" s="490"/>
      <c r="Q33" s="490"/>
      <c r="R33" s="490"/>
      <c r="S33" s="490"/>
      <c r="T33" s="490"/>
      <c r="U33" s="490"/>
      <c r="V33" s="490"/>
      <c r="W33" s="490"/>
      <c r="X33" s="490"/>
      <c r="Y33" s="490"/>
      <c r="Z33" s="490"/>
      <c r="AA33" s="490"/>
    </row>
    <row r="34" customFormat="false" ht="20.1" hidden="false" customHeight="true" outlineLevel="0" collapsed="false">
      <c r="A34" s="490"/>
      <c r="B34" s="494"/>
      <c r="C34" s="490"/>
      <c r="D34" s="490"/>
      <c r="E34" s="490"/>
      <c r="F34" s="490"/>
      <c r="G34" s="490"/>
      <c r="H34" s="490"/>
      <c r="I34" s="490"/>
      <c r="J34" s="490"/>
      <c r="K34" s="490"/>
      <c r="L34" s="490"/>
      <c r="M34" s="490"/>
      <c r="N34" s="490"/>
      <c r="O34" s="490"/>
      <c r="P34" s="490"/>
      <c r="Q34" s="490"/>
      <c r="R34" s="490"/>
      <c r="S34" s="490"/>
      <c r="T34" s="490"/>
      <c r="U34" s="490"/>
      <c r="V34" s="490"/>
      <c r="W34" s="490"/>
      <c r="X34" s="490"/>
      <c r="Y34" s="490"/>
      <c r="Z34" s="490"/>
      <c r="AA34" s="490"/>
    </row>
    <row r="35" customFormat="false" ht="20.1" hidden="false" customHeight="true" outlineLevel="0" collapsed="false">
      <c r="A35" s="490"/>
      <c r="B35" s="494"/>
      <c r="C35" s="490"/>
      <c r="D35" s="490"/>
      <c r="E35" s="490"/>
      <c r="F35" s="490"/>
      <c r="G35" s="490"/>
      <c r="H35" s="490"/>
      <c r="I35" s="490"/>
      <c r="J35" s="490"/>
      <c r="K35" s="490"/>
      <c r="L35" s="490"/>
      <c r="M35" s="490"/>
      <c r="N35" s="490"/>
      <c r="O35" s="490"/>
      <c r="P35" s="490"/>
      <c r="Q35" s="490"/>
      <c r="R35" s="490"/>
      <c r="S35" s="490"/>
      <c r="T35" s="490"/>
      <c r="U35" s="490"/>
      <c r="V35" s="490"/>
      <c r="W35" s="490"/>
      <c r="X35" s="490"/>
      <c r="Y35" s="490"/>
      <c r="Z35" s="490"/>
      <c r="AA35" s="490"/>
    </row>
    <row r="36" customFormat="false" ht="20.1" hidden="false" customHeight="true" outlineLevel="0" collapsed="false">
      <c r="A36" s="490"/>
      <c r="B36" s="494"/>
      <c r="C36" s="490"/>
      <c r="D36" s="490"/>
      <c r="E36" s="490"/>
      <c r="F36" s="490"/>
      <c r="G36" s="490"/>
      <c r="H36" s="490"/>
      <c r="I36" s="490"/>
      <c r="J36" s="490"/>
      <c r="K36" s="490"/>
      <c r="L36" s="490"/>
      <c r="M36" s="490"/>
      <c r="N36" s="490"/>
      <c r="O36" s="490"/>
      <c r="P36" s="490"/>
      <c r="Q36" s="490"/>
      <c r="R36" s="490"/>
      <c r="S36" s="490"/>
      <c r="T36" s="490"/>
      <c r="U36" s="490"/>
      <c r="V36" s="490"/>
      <c r="W36" s="490"/>
      <c r="X36" s="490"/>
      <c r="Y36" s="490"/>
      <c r="Z36" s="490"/>
      <c r="AA36" s="490"/>
    </row>
    <row r="37" customFormat="false" ht="20.1" hidden="false" customHeight="true" outlineLevel="0" collapsed="false">
      <c r="A37" s="490"/>
      <c r="B37" s="494"/>
      <c r="C37" s="490"/>
      <c r="D37" s="490"/>
      <c r="E37" s="490"/>
      <c r="F37" s="490"/>
      <c r="G37" s="490"/>
      <c r="H37" s="490"/>
      <c r="I37" s="490"/>
      <c r="J37" s="490"/>
      <c r="K37" s="490"/>
      <c r="L37" s="490"/>
      <c r="M37" s="490"/>
      <c r="N37" s="490"/>
      <c r="O37" s="490"/>
      <c r="P37" s="490"/>
      <c r="Q37" s="490"/>
      <c r="R37" s="490"/>
      <c r="S37" s="490"/>
      <c r="T37" s="490"/>
      <c r="U37" s="490"/>
      <c r="V37" s="490"/>
      <c r="W37" s="490"/>
      <c r="X37" s="490"/>
      <c r="Y37" s="490"/>
      <c r="Z37" s="490"/>
      <c r="AA37" s="490"/>
    </row>
    <row r="38" customFormat="false" ht="20.1" hidden="false" customHeight="true" outlineLevel="0" collapsed="false">
      <c r="A38" s="490"/>
      <c r="B38" s="494"/>
      <c r="C38" s="490"/>
      <c r="D38" s="490"/>
      <c r="E38" s="490"/>
      <c r="F38" s="490"/>
      <c r="G38" s="490"/>
      <c r="H38" s="490"/>
      <c r="I38" s="490"/>
      <c r="J38" s="490"/>
      <c r="K38" s="490"/>
      <c r="L38" s="490"/>
      <c r="M38" s="490"/>
      <c r="N38" s="490"/>
      <c r="O38" s="490"/>
      <c r="P38" s="490"/>
      <c r="Q38" s="490"/>
      <c r="R38" s="490"/>
      <c r="S38" s="490"/>
      <c r="T38" s="490"/>
      <c r="U38" s="490"/>
      <c r="V38" s="490"/>
      <c r="W38" s="490"/>
      <c r="X38" s="490"/>
      <c r="Y38" s="490"/>
      <c r="Z38" s="490"/>
      <c r="AA38" s="490"/>
    </row>
    <row r="39" customFormat="false" ht="20.1" hidden="false" customHeight="true" outlineLevel="0" collapsed="false">
      <c r="A39" s="490"/>
      <c r="B39" s="494"/>
      <c r="C39" s="490"/>
      <c r="D39" s="490"/>
      <c r="E39" s="490"/>
      <c r="F39" s="490"/>
      <c r="G39" s="490"/>
      <c r="H39" s="490"/>
      <c r="I39" s="490"/>
      <c r="J39" s="490"/>
      <c r="K39" s="490"/>
      <c r="L39" s="490"/>
      <c r="M39" s="490"/>
      <c r="N39" s="490"/>
      <c r="O39" s="490"/>
      <c r="P39" s="490"/>
      <c r="Q39" s="490"/>
      <c r="R39" s="490"/>
      <c r="S39" s="490"/>
      <c r="T39" s="490"/>
      <c r="U39" s="490"/>
      <c r="V39" s="490"/>
      <c r="W39" s="490"/>
      <c r="X39" s="490"/>
      <c r="Y39" s="490"/>
      <c r="Z39" s="490"/>
      <c r="AA39" s="490"/>
    </row>
    <row r="40" customFormat="false" ht="20.1" hidden="false" customHeight="true" outlineLevel="0" collapsed="false">
      <c r="A40" s="490"/>
      <c r="B40" s="494"/>
      <c r="C40" s="490"/>
      <c r="D40" s="490"/>
      <c r="E40" s="490"/>
      <c r="F40" s="490"/>
      <c r="G40" s="490"/>
      <c r="H40" s="490"/>
      <c r="I40" s="490"/>
      <c r="J40" s="490"/>
      <c r="K40" s="490"/>
      <c r="L40" s="490"/>
      <c r="M40" s="490"/>
      <c r="N40" s="490"/>
      <c r="O40" s="490"/>
      <c r="P40" s="490"/>
      <c r="Q40" s="490"/>
      <c r="R40" s="490"/>
      <c r="S40" s="490"/>
      <c r="T40" s="490"/>
      <c r="U40" s="490"/>
      <c r="V40" s="490"/>
      <c r="W40" s="490"/>
      <c r="X40" s="490"/>
      <c r="Y40" s="490"/>
      <c r="Z40" s="490"/>
      <c r="AA40" s="490"/>
    </row>
    <row r="41" customFormat="false" ht="20.1" hidden="false" customHeight="true" outlineLevel="0" collapsed="false">
      <c r="A41" s="490"/>
      <c r="B41" s="494"/>
      <c r="C41" s="490"/>
      <c r="D41" s="490"/>
      <c r="E41" s="490"/>
      <c r="F41" s="490"/>
      <c r="G41" s="490"/>
      <c r="H41" s="490"/>
      <c r="I41" s="490"/>
      <c r="J41" s="490"/>
      <c r="K41" s="490"/>
      <c r="L41" s="490"/>
      <c r="M41" s="490"/>
      <c r="N41" s="490"/>
      <c r="O41" s="490"/>
      <c r="P41" s="490"/>
      <c r="Q41" s="490"/>
      <c r="R41" s="490"/>
      <c r="S41" s="490"/>
      <c r="T41" s="490"/>
      <c r="U41" s="490"/>
      <c r="V41" s="490"/>
      <c r="W41" s="490"/>
      <c r="X41" s="490"/>
      <c r="Y41" s="490"/>
      <c r="Z41" s="490"/>
      <c r="AA41" s="490"/>
    </row>
    <row r="42" customFormat="false" ht="20.1" hidden="false" customHeight="true" outlineLevel="0" collapsed="false">
      <c r="A42" s="490"/>
      <c r="B42" s="494"/>
      <c r="C42" s="490"/>
      <c r="D42" s="490"/>
      <c r="E42" s="490"/>
      <c r="F42" s="490"/>
      <c r="G42" s="490"/>
      <c r="H42" s="490"/>
      <c r="I42" s="490"/>
      <c r="J42" s="490"/>
      <c r="K42" s="490"/>
      <c r="L42" s="490"/>
      <c r="M42" s="490"/>
      <c r="N42" s="490"/>
      <c r="O42" s="490"/>
      <c r="P42" s="490"/>
      <c r="Q42" s="490"/>
      <c r="R42" s="490"/>
      <c r="S42" s="490"/>
      <c r="T42" s="490"/>
      <c r="U42" s="490"/>
      <c r="V42" s="490"/>
      <c r="W42" s="490"/>
      <c r="X42" s="490"/>
      <c r="Y42" s="490"/>
      <c r="Z42" s="490"/>
      <c r="AA42" s="490"/>
    </row>
    <row r="43" customFormat="false" ht="20.1" hidden="false" customHeight="true" outlineLevel="0" collapsed="false">
      <c r="A43" s="490"/>
      <c r="B43" s="494"/>
      <c r="C43" s="490"/>
      <c r="D43" s="490"/>
      <c r="E43" s="490"/>
      <c r="F43" s="490"/>
      <c r="G43" s="490"/>
      <c r="H43" s="490"/>
      <c r="I43" s="490"/>
      <c r="J43" s="490"/>
      <c r="K43" s="490"/>
      <c r="L43" s="490"/>
      <c r="M43" s="490"/>
      <c r="N43" s="490"/>
      <c r="O43" s="490"/>
      <c r="P43" s="490"/>
      <c r="Q43" s="490"/>
      <c r="R43" s="490"/>
      <c r="S43" s="490"/>
      <c r="T43" s="490"/>
      <c r="U43" s="490"/>
      <c r="V43" s="490"/>
      <c r="W43" s="490"/>
      <c r="X43" s="490"/>
      <c r="Y43" s="490"/>
      <c r="Z43" s="490"/>
      <c r="AA43" s="490"/>
    </row>
    <row r="44" customFormat="false" ht="20.1" hidden="false" customHeight="true" outlineLevel="0" collapsed="false">
      <c r="A44" s="490"/>
      <c r="B44" s="494"/>
      <c r="C44" s="490"/>
      <c r="D44" s="490"/>
      <c r="E44" s="490"/>
      <c r="F44" s="490"/>
      <c r="G44" s="490"/>
      <c r="H44" s="490"/>
      <c r="I44" s="490"/>
      <c r="J44" s="490"/>
      <c r="K44" s="490"/>
      <c r="L44" s="490"/>
      <c r="M44" s="490"/>
      <c r="N44" s="490"/>
      <c r="O44" s="490"/>
      <c r="P44" s="490"/>
      <c r="Q44" s="490"/>
      <c r="R44" s="490"/>
      <c r="S44" s="490"/>
      <c r="T44" s="490"/>
      <c r="U44" s="490"/>
      <c r="V44" s="490"/>
      <c r="W44" s="490"/>
      <c r="X44" s="490"/>
      <c r="Y44" s="490"/>
      <c r="Z44" s="490"/>
      <c r="AA44" s="490"/>
    </row>
    <row r="45" customFormat="false" ht="20.1" hidden="false" customHeight="true" outlineLevel="0" collapsed="false">
      <c r="A45" s="490"/>
      <c r="B45" s="494"/>
      <c r="C45" s="490"/>
      <c r="D45" s="490"/>
      <c r="E45" s="490"/>
      <c r="F45" s="490"/>
      <c r="G45" s="490"/>
      <c r="H45" s="490"/>
      <c r="I45" s="490"/>
      <c r="J45" s="490"/>
      <c r="K45" s="490"/>
      <c r="L45" s="490"/>
      <c r="M45" s="490"/>
      <c r="N45" s="490"/>
      <c r="O45" s="490"/>
      <c r="P45" s="490"/>
      <c r="Q45" s="490"/>
      <c r="R45" s="490"/>
      <c r="S45" s="490"/>
      <c r="T45" s="490"/>
      <c r="U45" s="490"/>
      <c r="V45" s="490"/>
      <c r="W45" s="490"/>
      <c r="X45" s="490"/>
      <c r="Y45" s="490"/>
      <c r="Z45" s="490"/>
      <c r="AA45" s="490"/>
    </row>
  </sheetData>
  <mergeCells count="2">
    <mergeCell ref="A1:W2"/>
    <mergeCell ref="A3:W3"/>
  </mergeCells>
  <conditionalFormatting sqref="C11:F11 C13 C20:F23 C7:F7 C16:F18">
    <cfRule type="expression" priority="2" aboveAverage="0" equalAverage="0" bottom="0" percent="0" rank="0" text="" dxfId="334">
      <formula>$H7="Nein"</formula>
    </cfRule>
    <cfRule type="expression" priority="3" aboveAverage="0" equalAverage="0" bottom="0" percent="0" rank="0" text="" dxfId="335">
      <formula>$H7="Ja"</formula>
    </cfRule>
  </conditionalFormatting>
  <conditionalFormatting sqref="C13:F13">
    <cfRule type="expression" priority="4" aboveAverage="0" equalAverage="0" bottom="0" percent="0" rank="0" text="" dxfId="336">
      <formula>$H13="Nein"</formula>
    </cfRule>
    <cfRule type="expression" priority="5" aboveAverage="0" equalAverage="0" bottom="0" percent="0" rank="0" text="" dxfId="337">
      <formula>$H13="Ja"</formula>
    </cfRule>
  </conditionalFormatting>
  <conditionalFormatting sqref="C14:F14">
    <cfRule type="expression" priority="6" aboveAverage="0" equalAverage="0" bottom="0" percent="0" rank="0" text="" dxfId="338">
      <formula>$H14="Nein"</formula>
    </cfRule>
    <cfRule type="expression" priority="7" aboveAverage="0" equalAverage="0" bottom="0" percent="0" rank="0" text="" dxfId="339">
      <formula>$H14="Ja"</formula>
    </cfRule>
  </conditionalFormatting>
  <conditionalFormatting sqref="C9:F9">
    <cfRule type="expression" priority="8" aboveAverage="0" equalAverage="0" bottom="0" percent="0" rank="0" text="" dxfId="340">
      <formula>$H9="Nein"</formula>
    </cfRule>
    <cfRule type="expression" priority="9" aboveAverage="0" equalAverage="0" bottom="0" percent="0" rank="0" text="" dxfId="341">
      <formula>$H9="Ja"</formula>
    </cfRule>
  </conditionalFormatting>
  <conditionalFormatting sqref="C13:F13">
    <cfRule type="expression" priority="10" aboveAverage="0" equalAverage="0" bottom="0" percent="0" rank="0" text="" dxfId="342">
      <formula>$H13="Nein"</formula>
    </cfRule>
    <cfRule type="expression" priority="11" aboveAverage="0" equalAverage="0" bottom="0" percent="0" rank="0" text="" dxfId="343">
      <formula>$H13="Ja"</formula>
    </cfRule>
  </conditionalFormatting>
  <conditionalFormatting sqref="C14:F14">
    <cfRule type="expression" priority="12" aboveAverage="0" equalAverage="0" bottom="0" percent="0" rank="0" text="" dxfId="344">
      <formula>$H14="Nein"</formula>
    </cfRule>
    <cfRule type="expression" priority="13" aboveAverage="0" equalAverage="0" bottom="0" percent="0" rank="0" text="" dxfId="345">
      <formula>$H14="Ja"</formula>
    </cfRule>
  </conditionalFormatting>
  <conditionalFormatting sqref="C8:F8">
    <cfRule type="expression" priority="14" aboveAverage="0" equalAverage="0" bottom="0" percent="0" rank="0" text="" dxfId="346">
      <formula>$H8="Nein"</formula>
    </cfRule>
    <cfRule type="expression" priority="15" aboveAverage="0" equalAverage="0" bottom="0" percent="0" rank="0" text="" dxfId="347">
      <formula>$H8="Ja"</formula>
    </cfRule>
  </conditionalFormatting>
  <conditionalFormatting sqref="C11:F11">
    <cfRule type="expression" priority="16" aboveAverage="0" equalAverage="0" bottom="0" percent="0" rank="0" text="" dxfId="348">
      <formula>$H11="Nein"</formula>
    </cfRule>
    <cfRule type="expression" priority="17" aboveAverage="0" equalAverage="0" bottom="0" percent="0" rank="0" text="" dxfId="349">
      <formula>$H11="Ja"</formula>
    </cfRule>
  </conditionalFormatting>
  <conditionalFormatting sqref="C10:F10">
    <cfRule type="expression" priority="18" aboveAverage="0" equalAverage="0" bottom="0" percent="0" rank="0" text="" dxfId="350">
      <formula>$H10="Nein"</formula>
    </cfRule>
    <cfRule type="expression" priority="19" aboveAverage="0" equalAverage="0" bottom="0" percent="0" rank="0" text="" dxfId="351">
      <formula>$H10="Ja"</formula>
    </cfRule>
  </conditionalFormatting>
  <conditionalFormatting sqref="C13:F13">
    <cfRule type="expression" priority="20" aboveAverage="0" equalAverage="0" bottom="0" percent="0" rank="0" text="" dxfId="352">
      <formula>$H13="Nein"</formula>
    </cfRule>
    <cfRule type="expression" priority="21" aboveAverage="0" equalAverage="0" bottom="0" percent="0" rank="0" text="" dxfId="353">
      <formula>$H13="Ja"</formula>
    </cfRule>
  </conditionalFormatting>
  <conditionalFormatting sqref="C14:F14">
    <cfRule type="expression" priority="22" aboveAverage="0" equalAverage="0" bottom="0" percent="0" rank="0" text="" dxfId="354">
      <formula>$H14="Nein"</formula>
    </cfRule>
    <cfRule type="expression" priority="23" aboveAverage="0" equalAverage="0" bottom="0" percent="0" rank="0" text="" dxfId="355">
      <formula>$H14="Ja"</formula>
    </cfRule>
  </conditionalFormatting>
  <conditionalFormatting sqref="D13:F13">
    <cfRule type="expression" priority="24" aboveAverage="0" equalAverage="0" bottom="0" percent="0" rank="0" text="" dxfId="356">
      <formula>$H13="Nein"</formula>
    </cfRule>
    <cfRule type="expression" priority="25" aboveAverage="0" equalAverage="0" bottom="0" percent="0" rank="0" text="" dxfId="357">
      <formula>$H13="Ja"</formula>
    </cfRule>
  </conditionalFormatting>
  <conditionalFormatting sqref="C14:F14">
    <cfRule type="expression" priority="26" aboveAverage="0" equalAverage="0" bottom="0" percent="0" rank="0" text="" dxfId="358">
      <formula>$H14="Nein"</formula>
    </cfRule>
    <cfRule type="expression" priority="27" aboveAverage="0" equalAverage="0" bottom="0" percent="0" rank="0" text="" dxfId="359">
      <formula>$H14="Ja"</formula>
    </cfRule>
  </conditionalFormatting>
  <conditionalFormatting sqref="C12:F12">
    <cfRule type="expression" priority="28" aboveAverage="0" equalAverage="0" bottom="0" percent="0" rank="0" text="" dxfId="360">
      <formula>$H12="Nein"</formula>
    </cfRule>
    <cfRule type="expression" priority="29" aboveAverage="0" equalAverage="0" bottom="0" percent="0" rank="0" text="" dxfId="361">
      <formula>$H12="Ja"</formula>
    </cfRule>
  </conditionalFormatting>
  <conditionalFormatting sqref="C12:F12">
    <cfRule type="expression" priority="30" aboveAverage="0" equalAverage="0" bottom="0" percent="0" rank="0" text="" dxfId="362">
      <formula>$H12="Nein"</formula>
    </cfRule>
    <cfRule type="expression" priority="31" aboveAverage="0" equalAverage="0" bottom="0" percent="0" rank="0" text="" dxfId="363">
      <formula>$H12="Ja"</formula>
    </cfRule>
  </conditionalFormatting>
  <conditionalFormatting sqref="C15:F15">
    <cfRule type="expression" priority="32" aboveAverage="0" equalAverage="0" bottom="0" percent="0" rank="0" text="" dxfId="364">
      <formula>$H15="Nein"</formula>
    </cfRule>
    <cfRule type="expression" priority="33" aboveAverage="0" equalAverage="0" bottom="0" percent="0" rank="0" text="" dxfId="365">
      <formula>$H15="Ja"</formula>
    </cfRule>
  </conditionalFormatting>
  <conditionalFormatting sqref="C8:F8">
    <cfRule type="expression" priority="34" aboveAverage="0" equalAverage="0" bottom="0" percent="0" rank="0" text="" dxfId="366">
      <formula>$H8="Nein"</formula>
    </cfRule>
    <cfRule type="expression" priority="35" aboveAverage="0" equalAverage="0" bottom="0" percent="0" rank="0" text="" dxfId="367">
      <formula>$H8="Ja"</formula>
    </cfRule>
  </conditionalFormatting>
  <conditionalFormatting sqref="C9:F9">
    <cfRule type="expression" priority="36" aboveAverage="0" equalAverage="0" bottom="0" percent="0" rank="0" text="" dxfId="368">
      <formula>$H9="Nein"</formula>
    </cfRule>
    <cfRule type="expression" priority="37" aboveAverage="0" equalAverage="0" bottom="0" percent="0" rank="0" text="" dxfId="369">
      <formula>$H9="Ja"</formula>
    </cfRule>
  </conditionalFormatting>
  <conditionalFormatting sqref="C19:F19">
    <cfRule type="expression" priority="38" aboveAverage="0" equalAverage="0" bottom="0" percent="0" rank="0" text="" dxfId="370">
      <formula>$H19="Nein"</formula>
    </cfRule>
    <cfRule type="expression" priority="39" aboveAverage="0" equalAverage="0" bottom="0" percent="0" rank="0" text="" dxfId="371">
      <formula>$H19="Ja"</formula>
    </cfRule>
  </conditionalFormatting>
  <conditionalFormatting sqref="C19:F19">
    <cfRule type="expression" priority="40" aboveAverage="0" equalAverage="0" bottom="0" percent="0" rank="0" text="" dxfId="372">
      <formula>$H19="Nein"</formula>
    </cfRule>
    <cfRule type="expression" priority="41" aboveAverage="0" equalAverage="0" bottom="0" percent="0" rank="0" text="" dxfId="373">
      <formula>$H19="Ja"</formula>
    </cfRule>
  </conditionalFormatting>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S243"/>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0.6875" defaultRowHeight="15" zeroHeight="false" outlineLevelRow="0" outlineLevelCol="0"/>
  <cols>
    <col collapsed="false" customWidth="true" hidden="false" outlineLevel="0" max="3" min="3" style="0" width="50.71"/>
    <col collapsed="false" customWidth="true" hidden="false" outlineLevel="0" max="4" min="4" style="0" width="15.71"/>
    <col collapsed="false" customWidth="true" hidden="false" outlineLevel="0" max="5" min="5" style="0" width="25.71"/>
  </cols>
  <sheetData>
    <row r="1" customFormat="false" ht="15" hidden="false" customHeight="true" outlineLevel="0" collapsed="false">
      <c r="A1" s="566" t="s">
        <v>461</v>
      </c>
      <c r="B1" s="566"/>
      <c r="C1" s="566"/>
      <c r="D1" s="566"/>
      <c r="E1" s="566"/>
      <c r="F1" s="566"/>
      <c r="G1" s="165"/>
      <c r="H1" s="165"/>
      <c r="I1" s="165"/>
      <c r="J1" s="165"/>
      <c r="K1" s="165"/>
      <c r="L1" s="165"/>
      <c r="M1" s="165"/>
      <c r="N1" s="165"/>
      <c r="O1" s="165"/>
      <c r="P1" s="165"/>
      <c r="Q1" s="165"/>
      <c r="R1" s="165"/>
      <c r="S1" s="165"/>
    </row>
    <row r="2" customFormat="false" ht="15" hidden="false" customHeight="true" outlineLevel="0" collapsed="false">
      <c r="A2" s="566"/>
      <c r="B2" s="566"/>
      <c r="C2" s="566"/>
      <c r="D2" s="566"/>
      <c r="E2" s="566"/>
      <c r="F2" s="566"/>
      <c r="G2" s="165"/>
      <c r="H2" s="165"/>
      <c r="I2" s="165"/>
      <c r="J2" s="165"/>
      <c r="K2" s="165"/>
      <c r="L2" s="165"/>
      <c r="M2" s="165"/>
      <c r="N2" s="165"/>
      <c r="O2" s="165"/>
      <c r="P2" s="165"/>
      <c r="Q2" s="165"/>
      <c r="R2" s="165"/>
      <c r="S2" s="165"/>
    </row>
    <row r="3" customFormat="false" ht="15.75" hidden="false" customHeight="false" outlineLevel="0" collapsed="false">
      <c r="A3" s="567"/>
      <c r="B3" s="567"/>
      <c r="C3" s="567"/>
      <c r="D3" s="567"/>
      <c r="E3" s="567"/>
      <c r="F3" s="567"/>
    </row>
    <row r="4" customFormat="false" ht="15.75" hidden="false" customHeight="false" outlineLevel="0" collapsed="false">
      <c r="A4" s="567"/>
      <c r="B4" s="568" t="s">
        <v>462</v>
      </c>
      <c r="C4" s="569" t="s">
        <v>23</v>
      </c>
      <c r="D4" s="570" t="s">
        <v>463</v>
      </c>
      <c r="E4" s="571" t="s">
        <v>22</v>
      </c>
      <c r="F4" s="567"/>
    </row>
    <row r="5" customFormat="false" ht="15.75" hidden="false" customHeight="false" outlineLevel="0" collapsed="false">
      <c r="A5" s="567"/>
      <c r="B5" s="572" t="s">
        <v>41</v>
      </c>
      <c r="C5" s="573" t="s">
        <v>464</v>
      </c>
      <c r="D5" s="574" t="s">
        <v>465</v>
      </c>
      <c r="E5" s="573" t="s">
        <v>466</v>
      </c>
      <c r="F5" s="567"/>
    </row>
    <row r="6" customFormat="false" ht="15" hidden="false" customHeight="false" outlineLevel="0" collapsed="false">
      <c r="A6" s="567"/>
      <c r="B6" s="575" t="n">
        <v>1</v>
      </c>
      <c r="C6" s="576" t="s">
        <v>111</v>
      </c>
      <c r="D6" s="577" t="s">
        <v>467</v>
      </c>
      <c r="E6" s="578" t="n">
        <v>1</v>
      </c>
      <c r="F6" s="567"/>
    </row>
    <row r="7" customFormat="false" ht="15" hidden="false" customHeight="false" outlineLevel="0" collapsed="false">
      <c r="A7" s="567"/>
      <c r="B7" s="579" t="n">
        <v>2</v>
      </c>
      <c r="C7" s="580" t="s">
        <v>161</v>
      </c>
      <c r="D7" s="581" t="s">
        <v>468</v>
      </c>
      <c r="E7" s="582" t="n">
        <v>1</v>
      </c>
      <c r="F7" s="567"/>
    </row>
    <row r="8" customFormat="false" ht="15" hidden="false" customHeight="false" outlineLevel="0" collapsed="false">
      <c r="A8" s="567"/>
      <c r="B8" s="579" t="n">
        <v>3</v>
      </c>
      <c r="C8" s="580" t="s">
        <v>238</v>
      </c>
      <c r="D8" s="581" t="s">
        <v>469</v>
      </c>
      <c r="E8" s="582" t="n">
        <v>1</v>
      </c>
      <c r="F8" s="567"/>
    </row>
    <row r="9" customFormat="false" ht="15" hidden="false" customHeight="false" outlineLevel="0" collapsed="false">
      <c r="A9" s="567"/>
      <c r="B9" s="579" t="n">
        <v>4</v>
      </c>
      <c r="C9" s="580"/>
      <c r="D9" s="581"/>
      <c r="E9" s="582"/>
      <c r="F9" s="567"/>
    </row>
    <row r="10" customFormat="false" ht="15" hidden="false" customHeight="false" outlineLevel="0" collapsed="false">
      <c r="A10" s="567"/>
      <c r="B10" s="579" t="n">
        <v>5</v>
      </c>
      <c r="C10" s="580"/>
      <c r="D10" s="581"/>
      <c r="E10" s="582"/>
      <c r="F10" s="567"/>
    </row>
    <row r="11" customFormat="false" ht="15" hidden="false" customHeight="false" outlineLevel="0" collapsed="false">
      <c r="A11" s="567"/>
      <c r="B11" s="579" t="n">
        <v>6</v>
      </c>
      <c r="C11" s="580"/>
      <c r="D11" s="581"/>
      <c r="E11" s="582"/>
      <c r="F11" s="567"/>
    </row>
    <row r="12" customFormat="false" ht="15" hidden="false" customHeight="false" outlineLevel="0" collapsed="false">
      <c r="A12" s="567"/>
      <c r="B12" s="579" t="n">
        <v>7</v>
      </c>
      <c r="C12" s="580"/>
      <c r="D12" s="581"/>
      <c r="E12" s="582"/>
      <c r="F12" s="567"/>
    </row>
    <row r="13" customFormat="false" ht="15" hidden="false" customHeight="false" outlineLevel="0" collapsed="false">
      <c r="A13" s="567"/>
      <c r="B13" s="579" t="n">
        <v>8</v>
      </c>
      <c r="C13" s="580"/>
      <c r="D13" s="581"/>
      <c r="E13" s="582"/>
      <c r="F13" s="567"/>
    </row>
    <row r="14" customFormat="false" ht="15" hidden="false" customHeight="false" outlineLevel="0" collapsed="false">
      <c r="A14" s="567"/>
      <c r="B14" s="579" t="n">
        <v>9</v>
      </c>
      <c r="C14" s="580"/>
      <c r="D14" s="581"/>
      <c r="E14" s="582"/>
      <c r="F14" s="567"/>
    </row>
    <row r="15" customFormat="false" ht="15" hidden="false" customHeight="false" outlineLevel="0" collapsed="false">
      <c r="A15" s="567"/>
      <c r="B15" s="579" t="n">
        <v>10</v>
      </c>
      <c r="C15" s="580"/>
      <c r="D15" s="581"/>
      <c r="E15" s="582"/>
      <c r="F15" s="567"/>
    </row>
    <row r="16" customFormat="false" ht="15" hidden="false" customHeight="false" outlineLevel="0" collapsed="false">
      <c r="A16" s="567"/>
      <c r="B16" s="579" t="n">
        <v>11</v>
      </c>
      <c r="C16" s="580"/>
      <c r="D16" s="581"/>
      <c r="E16" s="582"/>
      <c r="F16" s="567"/>
    </row>
    <row r="17" customFormat="false" ht="15.75" hidden="false" customHeight="false" outlineLevel="0" collapsed="false">
      <c r="A17" s="567"/>
      <c r="B17" s="583" t="n">
        <v>12</v>
      </c>
      <c r="C17" s="584"/>
      <c r="D17" s="585"/>
      <c r="E17" s="586"/>
      <c r="F17" s="567"/>
    </row>
    <row r="18" customFormat="false" ht="15.75" hidden="false" customHeight="false" outlineLevel="0" collapsed="false">
      <c r="A18" s="567"/>
      <c r="B18" s="567"/>
      <c r="C18" s="567"/>
      <c r="D18" s="567"/>
      <c r="E18" s="567"/>
      <c r="F18" s="567"/>
    </row>
    <row r="19" customFormat="false" ht="15.75" hidden="false" customHeight="false" outlineLevel="0" collapsed="false">
      <c r="A19" s="567"/>
      <c r="B19" s="568" t="s">
        <v>462</v>
      </c>
      <c r="C19" s="569" t="s">
        <v>160</v>
      </c>
      <c r="D19" s="570" t="s">
        <v>463</v>
      </c>
      <c r="E19" s="571" t="s">
        <v>159</v>
      </c>
      <c r="F19" s="567"/>
    </row>
    <row r="20" customFormat="false" ht="15.75" hidden="false" customHeight="false" outlineLevel="0" collapsed="false">
      <c r="A20" s="567"/>
      <c r="B20" s="572" t="s">
        <v>41</v>
      </c>
      <c r="C20" s="573" t="s">
        <v>464</v>
      </c>
      <c r="D20" s="574" t="s">
        <v>465</v>
      </c>
      <c r="E20" s="573" t="s">
        <v>466</v>
      </c>
      <c r="F20" s="567"/>
    </row>
    <row r="21" customFormat="false" ht="15" hidden="false" customHeight="false" outlineLevel="0" collapsed="false">
      <c r="A21" s="567"/>
      <c r="B21" s="575" t="n">
        <v>1</v>
      </c>
      <c r="C21" s="576" t="s">
        <v>306</v>
      </c>
      <c r="D21" s="577" t="s">
        <v>469</v>
      </c>
      <c r="E21" s="578" t="n">
        <v>1</v>
      </c>
      <c r="F21" s="567"/>
    </row>
    <row r="22" customFormat="false" ht="15" hidden="false" customHeight="false" outlineLevel="0" collapsed="false">
      <c r="A22" s="567"/>
      <c r="B22" s="579" t="n">
        <v>2</v>
      </c>
      <c r="C22" s="580" t="s">
        <v>349</v>
      </c>
      <c r="D22" s="581" t="s">
        <v>470</v>
      </c>
      <c r="E22" s="582" t="n">
        <v>1</v>
      </c>
      <c r="F22" s="567"/>
    </row>
    <row r="23" customFormat="false" ht="15" hidden="false" customHeight="false" outlineLevel="0" collapsed="false">
      <c r="A23" s="567"/>
      <c r="B23" s="579" t="n">
        <v>3</v>
      </c>
      <c r="C23" s="580" t="s">
        <v>395</v>
      </c>
      <c r="D23" s="581" t="s">
        <v>471</v>
      </c>
      <c r="E23" s="582" t="n">
        <v>1</v>
      </c>
      <c r="F23" s="567"/>
    </row>
    <row r="24" customFormat="false" ht="15" hidden="false" customHeight="false" outlineLevel="0" collapsed="false">
      <c r="A24" s="567"/>
      <c r="B24" s="579" t="n">
        <v>4</v>
      </c>
      <c r="C24" s="580"/>
      <c r="D24" s="581"/>
      <c r="E24" s="582"/>
      <c r="F24" s="567"/>
    </row>
    <row r="25" customFormat="false" ht="15" hidden="false" customHeight="false" outlineLevel="0" collapsed="false">
      <c r="A25" s="567"/>
      <c r="B25" s="579" t="n">
        <v>5</v>
      </c>
      <c r="C25" s="580"/>
      <c r="D25" s="581"/>
      <c r="E25" s="582"/>
      <c r="F25" s="567"/>
    </row>
    <row r="26" customFormat="false" ht="15" hidden="false" customHeight="false" outlineLevel="0" collapsed="false">
      <c r="A26" s="567"/>
      <c r="B26" s="579" t="n">
        <v>6</v>
      </c>
      <c r="C26" s="580"/>
      <c r="D26" s="581"/>
      <c r="E26" s="582"/>
      <c r="F26" s="567"/>
    </row>
    <row r="27" customFormat="false" ht="15" hidden="false" customHeight="false" outlineLevel="0" collapsed="false">
      <c r="A27" s="567"/>
      <c r="B27" s="579" t="n">
        <v>7</v>
      </c>
      <c r="C27" s="580"/>
      <c r="D27" s="581"/>
      <c r="E27" s="582"/>
      <c r="F27" s="567"/>
    </row>
    <row r="28" customFormat="false" ht="15" hidden="false" customHeight="false" outlineLevel="0" collapsed="false">
      <c r="A28" s="567"/>
      <c r="B28" s="579" t="n">
        <v>8</v>
      </c>
      <c r="C28" s="580"/>
      <c r="D28" s="581"/>
      <c r="E28" s="582"/>
      <c r="F28" s="567"/>
    </row>
    <row r="29" customFormat="false" ht="15" hidden="false" customHeight="false" outlineLevel="0" collapsed="false">
      <c r="A29" s="567"/>
      <c r="B29" s="579" t="n">
        <v>9</v>
      </c>
      <c r="C29" s="580"/>
      <c r="D29" s="581"/>
      <c r="E29" s="582"/>
      <c r="F29" s="567"/>
    </row>
    <row r="30" customFormat="false" ht="15" hidden="false" customHeight="false" outlineLevel="0" collapsed="false">
      <c r="A30" s="567"/>
      <c r="B30" s="579" t="n">
        <v>10</v>
      </c>
      <c r="C30" s="580"/>
      <c r="D30" s="581"/>
      <c r="E30" s="582"/>
      <c r="F30" s="567"/>
    </row>
    <row r="31" customFormat="false" ht="15" hidden="false" customHeight="false" outlineLevel="0" collapsed="false">
      <c r="A31" s="567"/>
      <c r="B31" s="579" t="n">
        <v>11</v>
      </c>
      <c r="C31" s="580"/>
      <c r="D31" s="581"/>
      <c r="E31" s="582"/>
      <c r="F31" s="567"/>
    </row>
    <row r="32" customFormat="false" ht="15.75" hidden="false" customHeight="false" outlineLevel="0" collapsed="false">
      <c r="A32" s="567"/>
      <c r="B32" s="583" t="n">
        <v>12</v>
      </c>
      <c r="C32" s="584"/>
      <c r="D32" s="585"/>
      <c r="E32" s="586"/>
      <c r="F32" s="567"/>
    </row>
    <row r="33" customFormat="false" ht="15.75" hidden="false" customHeight="false" outlineLevel="0" collapsed="false">
      <c r="A33" s="567"/>
      <c r="B33" s="567"/>
      <c r="C33" s="567"/>
      <c r="D33" s="567"/>
      <c r="E33" s="567"/>
      <c r="F33" s="567"/>
    </row>
    <row r="34" customFormat="false" ht="15.75" hidden="false" customHeight="false" outlineLevel="0" collapsed="false">
      <c r="A34" s="567"/>
      <c r="B34" s="568" t="s">
        <v>462</v>
      </c>
      <c r="C34" s="569" t="s">
        <v>25</v>
      </c>
      <c r="D34" s="570" t="s">
        <v>463</v>
      </c>
      <c r="E34" s="571" t="s">
        <v>24</v>
      </c>
      <c r="F34" s="567"/>
    </row>
    <row r="35" customFormat="false" ht="15.75" hidden="false" customHeight="false" outlineLevel="0" collapsed="false">
      <c r="A35" s="567"/>
      <c r="B35" s="572" t="s">
        <v>41</v>
      </c>
      <c r="C35" s="573" t="s">
        <v>464</v>
      </c>
      <c r="D35" s="574" t="s">
        <v>465</v>
      </c>
      <c r="E35" s="573" t="s">
        <v>466</v>
      </c>
      <c r="F35" s="567"/>
    </row>
    <row r="36" customFormat="false" ht="15" hidden="false" customHeight="false" outlineLevel="0" collapsed="false">
      <c r="A36" s="567"/>
      <c r="B36" s="575" t="n">
        <v>1</v>
      </c>
      <c r="C36" s="576" t="s">
        <v>117</v>
      </c>
      <c r="D36" s="577" t="s">
        <v>467</v>
      </c>
      <c r="E36" s="578" t="n">
        <v>1</v>
      </c>
      <c r="F36" s="567"/>
    </row>
    <row r="37" customFormat="false" ht="15" hidden="false" customHeight="false" outlineLevel="0" collapsed="false">
      <c r="A37" s="567"/>
      <c r="B37" s="579" t="n">
        <v>2</v>
      </c>
      <c r="C37" s="580" t="s">
        <v>210</v>
      </c>
      <c r="D37" s="581" t="s">
        <v>468</v>
      </c>
      <c r="E37" s="582" t="n">
        <v>1</v>
      </c>
      <c r="F37" s="567"/>
    </row>
    <row r="38" customFormat="false" ht="15" hidden="false" customHeight="false" outlineLevel="0" collapsed="false">
      <c r="A38" s="567"/>
      <c r="B38" s="579" t="n">
        <v>3</v>
      </c>
      <c r="C38" s="580" t="s">
        <v>296</v>
      </c>
      <c r="D38" s="581" t="s">
        <v>469</v>
      </c>
      <c r="E38" s="582" t="n">
        <v>1</v>
      </c>
      <c r="F38" s="567"/>
    </row>
    <row r="39" customFormat="false" ht="15" hidden="false" customHeight="false" outlineLevel="0" collapsed="false">
      <c r="A39" s="567"/>
      <c r="B39" s="579" t="n">
        <v>4</v>
      </c>
      <c r="C39" s="580" t="s">
        <v>75</v>
      </c>
      <c r="D39" s="581" t="s">
        <v>470</v>
      </c>
      <c r="E39" s="582" t="n">
        <v>1</v>
      </c>
      <c r="F39" s="567"/>
    </row>
    <row r="40" customFormat="false" ht="15" hidden="false" customHeight="false" outlineLevel="0" collapsed="false">
      <c r="A40" s="567"/>
      <c r="B40" s="579" t="n">
        <v>5</v>
      </c>
      <c r="C40" s="580" t="s">
        <v>67</v>
      </c>
      <c r="D40" s="581" t="s">
        <v>471</v>
      </c>
      <c r="E40" s="582" t="n">
        <v>1</v>
      </c>
      <c r="F40" s="567"/>
    </row>
    <row r="41" customFormat="false" ht="15" hidden="false" customHeight="false" outlineLevel="0" collapsed="false">
      <c r="A41" s="567"/>
      <c r="B41" s="579" t="n">
        <v>6</v>
      </c>
      <c r="C41" s="580"/>
      <c r="D41" s="581"/>
      <c r="E41" s="582"/>
      <c r="F41" s="567"/>
    </row>
    <row r="42" customFormat="false" ht="15" hidden="false" customHeight="false" outlineLevel="0" collapsed="false">
      <c r="A42" s="567"/>
      <c r="B42" s="579" t="n">
        <v>7</v>
      </c>
      <c r="C42" s="580"/>
      <c r="D42" s="581"/>
      <c r="E42" s="582"/>
      <c r="F42" s="567"/>
    </row>
    <row r="43" customFormat="false" ht="15" hidden="false" customHeight="false" outlineLevel="0" collapsed="false">
      <c r="A43" s="567"/>
      <c r="B43" s="579" t="n">
        <v>8</v>
      </c>
      <c r="C43" s="580"/>
      <c r="D43" s="581"/>
      <c r="E43" s="582"/>
      <c r="F43" s="567"/>
    </row>
    <row r="44" customFormat="false" ht="15" hidden="false" customHeight="false" outlineLevel="0" collapsed="false">
      <c r="A44" s="567"/>
      <c r="B44" s="579" t="n">
        <v>9</v>
      </c>
      <c r="C44" s="580"/>
      <c r="D44" s="581"/>
      <c r="E44" s="582"/>
      <c r="F44" s="567"/>
    </row>
    <row r="45" customFormat="false" ht="15" hidden="false" customHeight="false" outlineLevel="0" collapsed="false">
      <c r="A45" s="567"/>
      <c r="B45" s="579" t="n">
        <v>10</v>
      </c>
      <c r="C45" s="580"/>
      <c r="D45" s="581"/>
      <c r="E45" s="582"/>
      <c r="F45" s="567"/>
    </row>
    <row r="46" customFormat="false" ht="15" hidden="false" customHeight="false" outlineLevel="0" collapsed="false">
      <c r="A46" s="567"/>
      <c r="B46" s="579" t="n">
        <v>11</v>
      </c>
      <c r="C46" s="580"/>
      <c r="D46" s="581"/>
      <c r="E46" s="582"/>
      <c r="F46" s="567"/>
    </row>
    <row r="47" customFormat="false" ht="15.75" hidden="false" customHeight="false" outlineLevel="0" collapsed="false">
      <c r="A47" s="567"/>
      <c r="B47" s="583" t="n">
        <v>12</v>
      </c>
      <c r="C47" s="584"/>
      <c r="D47" s="585"/>
      <c r="E47" s="586"/>
      <c r="F47" s="567"/>
    </row>
    <row r="48" customFormat="false" ht="15.75" hidden="false" customHeight="false" outlineLevel="0" collapsed="false">
      <c r="A48" s="567"/>
      <c r="B48" s="587"/>
      <c r="C48" s="588"/>
      <c r="D48" s="587"/>
      <c r="E48" s="587"/>
      <c r="F48" s="567"/>
    </row>
    <row r="49" customFormat="false" ht="15.75" hidden="false" customHeight="false" outlineLevel="0" collapsed="false">
      <c r="A49" s="567"/>
      <c r="B49" s="568" t="s">
        <v>462</v>
      </c>
      <c r="C49" s="569" t="s">
        <v>43</v>
      </c>
      <c r="D49" s="570" t="s">
        <v>463</v>
      </c>
      <c r="E49" s="571" t="s">
        <v>42</v>
      </c>
      <c r="F49" s="567"/>
    </row>
    <row r="50" customFormat="false" ht="15.75" hidden="false" customHeight="false" outlineLevel="0" collapsed="false">
      <c r="A50" s="567"/>
      <c r="B50" s="572" t="s">
        <v>41</v>
      </c>
      <c r="C50" s="573" t="s">
        <v>464</v>
      </c>
      <c r="D50" s="574" t="s">
        <v>465</v>
      </c>
      <c r="E50" s="573" t="s">
        <v>466</v>
      </c>
      <c r="F50" s="567"/>
    </row>
    <row r="51" customFormat="false" ht="15" hidden="false" customHeight="false" outlineLevel="0" collapsed="false">
      <c r="A51" s="567"/>
      <c r="B51" s="575" t="n">
        <v>1</v>
      </c>
      <c r="C51" s="576" t="s">
        <v>225</v>
      </c>
      <c r="D51" s="577" t="s">
        <v>467</v>
      </c>
      <c r="E51" s="578" t="n">
        <v>1</v>
      </c>
      <c r="F51" s="567"/>
    </row>
    <row r="52" customFormat="false" ht="15" hidden="false" customHeight="false" outlineLevel="0" collapsed="false">
      <c r="A52" s="567"/>
      <c r="B52" s="579" t="n">
        <v>2</v>
      </c>
      <c r="C52" s="580" t="s">
        <v>227</v>
      </c>
      <c r="D52" s="581" t="s">
        <v>467</v>
      </c>
      <c r="E52" s="582" t="n">
        <v>1</v>
      </c>
      <c r="F52" s="567"/>
    </row>
    <row r="53" customFormat="false" ht="15" hidden="false" customHeight="false" outlineLevel="0" collapsed="false">
      <c r="A53" s="567"/>
      <c r="B53" s="579" t="n">
        <v>3</v>
      </c>
      <c r="C53" s="580"/>
      <c r="D53" s="581"/>
      <c r="E53" s="582"/>
      <c r="F53" s="567"/>
    </row>
    <row r="54" customFormat="false" ht="15" hidden="false" customHeight="false" outlineLevel="0" collapsed="false">
      <c r="A54" s="567"/>
      <c r="B54" s="579" t="n">
        <v>4</v>
      </c>
      <c r="C54" s="580"/>
      <c r="D54" s="581"/>
      <c r="E54" s="582"/>
      <c r="F54" s="567"/>
    </row>
    <row r="55" customFormat="false" ht="15" hidden="false" customHeight="false" outlineLevel="0" collapsed="false">
      <c r="A55" s="567"/>
      <c r="B55" s="579" t="n">
        <v>5</v>
      </c>
      <c r="C55" s="580"/>
      <c r="D55" s="581"/>
      <c r="E55" s="582"/>
      <c r="F55" s="567"/>
    </row>
    <row r="56" customFormat="false" ht="15" hidden="false" customHeight="false" outlineLevel="0" collapsed="false">
      <c r="A56" s="567"/>
      <c r="B56" s="579" t="n">
        <v>6</v>
      </c>
      <c r="C56" s="580"/>
      <c r="D56" s="581"/>
      <c r="E56" s="582"/>
      <c r="F56" s="567"/>
    </row>
    <row r="57" customFormat="false" ht="15" hidden="false" customHeight="false" outlineLevel="0" collapsed="false">
      <c r="A57" s="567"/>
      <c r="B57" s="579" t="n">
        <v>7</v>
      </c>
      <c r="C57" s="580"/>
      <c r="D57" s="581"/>
      <c r="E57" s="582"/>
      <c r="F57" s="567"/>
    </row>
    <row r="58" customFormat="false" ht="15" hidden="false" customHeight="false" outlineLevel="0" collapsed="false">
      <c r="A58" s="567"/>
      <c r="B58" s="579" t="n">
        <v>8</v>
      </c>
      <c r="C58" s="580"/>
      <c r="D58" s="581"/>
      <c r="E58" s="582"/>
      <c r="F58" s="567"/>
    </row>
    <row r="59" customFormat="false" ht="15" hidden="false" customHeight="false" outlineLevel="0" collapsed="false">
      <c r="A59" s="567"/>
      <c r="B59" s="579" t="n">
        <v>9</v>
      </c>
      <c r="C59" s="580"/>
      <c r="D59" s="581"/>
      <c r="E59" s="582"/>
      <c r="F59" s="567"/>
    </row>
    <row r="60" customFormat="false" ht="15" hidden="false" customHeight="false" outlineLevel="0" collapsed="false">
      <c r="A60" s="567"/>
      <c r="B60" s="579" t="n">
        <v>10</v>
      </c>
      <c r="C60" s="580"/>
      <c r="D60" s="581"/>
      <c r="E60" s="582"/>
      <c r="F60" s="567"/>
    </row>
    <row r="61" customFormat="false" ht="15" hidden="false" customHeight="false" outlineLevel="0" collapsed="false">
      <c r="A61" s="567"/>
      <c r="B61" s="579" t="n">
        <v>11</v>
      </c>
      <c r="C61" s="580"/>
      <c r="D61" s="581"/>
      <c r="E61" s="582"/>
      <c r="F61" s="567"/>
    </row>
    <row r="62" customFormat="false" ht="15.75" hidden="false" customHeight="false" outlineLevel="0" collapsed="false">
      <c r="A62" s="567"/>
      <c r="B62" s="583" t="n">
        <v>12</v>
      </c>
      <c r="C62" s="584"/>
      <c r="D62" s="585"/>
      <c r="E62" s="586"/>
      <c r="F62" s="567"/>
    </row>
    <row r="63" customFormat="false" ht="15.75" hidden="false" customHeight="false" outlineLevel="0" collapsed="false">
      <c r="A63" s="567"/>
      <c r="B63" s="587"/>
      <c r="C63" s="588"/>
      <c r="D63" s="587"/>
      <c r="E63" s="587"/>
      <c r="F63" s="567"/>
    </row>
    <row r="64" customFormat="false" ht="15.75" hidden="false" customHeight="false" outlineLevel="0" collapsed="false">
      <c r="A64" s="567"/>
      <c r="B64" s="568" t="s">
        <v>462</v>
      </c>
      <c r="C64" s="569" t="s">
        <v>31</v>
      </c>
      <c r="D64" s="570" t="s">
        <v>463</v>
      </c>
      <c r="E64" s="571" t="s">
        <v>30</v>
      </c>
      <c r="F64" s="567"/>
    </row>
    <row r="65" customFormat="false" ht="15.75" hidden="false" customHeight="false" outlineLevel="0" collapsed="false">
      <c r="A65" s="567"/>
      <c r="B65" s="572" t="s">
        <v>41</v>
      </c>
      <c r="C65" s="573" t="s">
        <v>464</v>
      </c>
      <c r="D65" s="574" t="s">
        <v>465</v>
      </c>
      <c r="E65" s="573" t="s">
        <v>466</v>
      </c>
      <c r="F65" s="567"/>
    </row>
    <row r="66" customFormat="false" ht="15" hidden="false" customHeight="false" outlineLevel="0" collapsed="false">
      <c r="A66" s="567"/>
      <c r="B66" s="575" t="n">
        <v>1</v>
      </c>
      <c r="C66" s="576" t="s">
        <v>75</v>
      </c>
      <c r="D66" s="577" t="s">
        <v>467</v>
      </c>
      <c r="E66" s="578" t="n">
        <v>1</v>
      </c>
      <c r="F66" s="567"/>
    </row>
    <row r="67" customFormat="false" ht="15" hidden="false" customHeight="false" outlineLevel="0" collapsed="false">
      <c r="A67" s="567"/>
      <c r="B67" s="579" t="n">
        <v>2</v>
      </c>
      <c r="C67" s="580" t="s">
        <v>369</v>
      </c>
      <c r="D67" s="581" t="s">
        <v>470</v>
      </c>
      <c r="E67" s="582" t="n">
        <v>1</v>
      </c>
      <c r="F67" s="567"/>
    </row>
    <row r="68" customFormat="false" ht="15" hidden="false" customHeight="false" outlineLevel="0" collapsed="false">
      <c r="A68" s="567"/>
      <c r="B68" s="579" t="n">
        <v>3</v>
      </c>
      <c r="C68" s="580" t="s">
        <v>227</v>
      </c>
      <c r="D68" s="581" t="s">
        <v>470</v>
      </c>
      <c r="E68" s="582" t="n">
        <v>1</v>
      </c>
      <c r="F68" s="567"/>
    </row>
    <row r="69" customFormat="false" ht="15" hidden="false" customHeight="false" outlineLevel="0" collapsed="false">
      <c r="A69" s="567"/>
      <c r="B69" s="579" t="n">
        <v>4</v>
      </c>
      <c r="C69" s="580" t="s">
        <v>411</v>
      </c>
      <c r="D69" s="581" t="s">
        <v>471</v>
      </c>
      <c r="E69" s="582" t="n">
        <v>1</v>
      </c>
      <c r="F69" s="567"/>
    </row>
    <row r="70" customFormat="false" ht="15" hidden="false" customHeight="false" outlineLevel="0" collapsed="false">
      <c r="A70" s="567"/>
      <c r="B70" s="579" t="n">
        <v>5</v>
      </c>
      <c r="C70" s="580"/>
      <c r="D70" s="581"/>
      <c r="E70" s="582"/>
      <c r="F70" s="567"/>
    </row>
    <row r="71" customFormat="false" ht="15" hidden="false" customHeight="false" outlineLevel="0" collapsed="false">
      <c r="A71" s="567"/>
      <c r="B71" s="579" t="n">
        <v>6</v>
      </c>
      <c r="C71" s="580"/>
      <c r="D71" s="581"/>
      <c r="E71" s="582"/>
      <c r="F71" s="567"/>
    </row>
    <row r="72" customFormat="false" ht="15" hidden="false" customHeight="false" outlineLevel="0" collapsed="false">
      <c r="A72" s="567"/>
      <c r="B72" s="579" t="n">
        <v>7</v>
      </c>
      <c r="C72" s="580"/>
      <c r="D72" s="581"/>
      <c r="E72" s="582"/>
      <c r="F72" s="567"/>
    </row>
    <row r="73" customFormat="false" ht="15" hidden="false" customHeight="false" outlineLevel="0" collapsed="false">
      <c r="A73" s="567"/>
      <c r="B73" s="579" t="n">
        <v>8</v>
      </c>
      <c r="C73" s="580"/>
      <c r="D73" s="581"/>
      <c r="E73" s="582"/>
      <c r="F73" s="567"/>
    </row>
    <row r="74" customFormat="false" ht="15" hidden="false" customHeight="false" outlineLevel="0" collapsed="false">
      <c r="A74" s="567"/>
      <c r="B74" s="579" t="n">
        <v>9</v>
      </c>
      <c r="C74" s="580"/>
      <c r="D74" s="581"/>
      <c r="E74" s="582"/>
      <c r="F74" s="567"/>
    </row>
    <row r="75" customFormat="false" ht="15" hidden="false" customHeight="false" outlineLevel="0" collapsed="false">
      <c r="A75" s="567"/>
      <c r="B75" s="579" t="n">
        <v>10</v>
      </c>
      <c r="C75" s="580"/>
      <c r="D75" s="581"/>
      <c r="E75" s="582"/>
      <c r="F75" s="567"/>
    </row>
    <row r="76" customFormat="false" ht="15" hidden="false" customHeight="false" outlineLevel="0" collapsed="false">
      <c r="A76" s="567"/>
      <c r="B76" s="579" t="n">
        <v>11</v>
      </c>
      <c r="C76" s="580"/>
      <c r="D76" s="581"/>
      <c r="E76" s="582"/>
      <c r="F76" s="567"/>
    </row>
    <row r="77" customFormat="false" ht="15.75" hidden="false" customHeight="false" outlineLevel="0" collapsed="false">
      <c r="A77" s="567"/>
      <c r="B77" s="583" t="n">
        <v>12</v>
      </c>
      <c r="C77" s="584"/>
      <c r="D77" s="585"/>
      <c r="E77" s="586"/>
      <c r="F77" s="567"/>
    </row>
    <row r="78" customFormat="false" ht="15.75" hidden="false" customHeight="false" outlineLevel="0" collapsed="false">
      <c r="A78" s="567"/>
      <c r="B78" s="567"/>
      <c r="C78" s="567"/>
      <c r="D78" s="567"/>
      <c r="E78" s="567"/>
      <c r="F78" s="567"/>
    </row>
    <row r="79" customFormat="false" ht="15.75" hidden="false" customHeight="false" outlineLevel="0" collapsed="false">
      <c r="A79" s="567"/>
      <c r="B79" s="568" t="s">
        <v>462</v>
      </c>
      <c r="C79" s="569" t="s">
        <v>16</v>
      </c>
      <c r="D79" s="570" t="s">
        <v>463</v>
      </c>
      <c r="E79" s="571" t="s">
        <v>15</v>
      </c>
      <c r="F79" s="567"/>
    </row>
    <row r="80" customFormat="false" ht="15.75" hidden="false" customHeight="false" outlineLevel="0" collapsed="false">
      <c r="A80" s="567"/>
      <c r="B80" s="572" t="s">
        <v>41</v>
      </c>
      <c r="C80" s="573" t="s">
        <v>464</v>
      </c>
      <c r="D80" s="574" t="s">
        <v>465</v>
      </c>
      <c r="E80" s="573" t="s">
        <v>466</v>
      </c>
      <c r="F80" s="567"/>
    </row>
    <row r="81" customFormat="false" ht="15" hidden="false" customHeight="false" outlineLevel="0" collapsed="false">
      <c r="A81" s="567"/>
      <c r="B81" s="575" t="n">
        <v>1</v>
      </c>
      <c r="C81" s="576" t="s">
        <v>65</v>
      </c>
      <c r="D81" s="577" t="s">
        <v>467</v>
      </c>
      <c r="E81" s="578" t="n">
        <v>1</v>
      </c>
      <c r="F81" s="567"/>
    </row>
    <row r="82" customFormat="false" ht="15" hidden="false" customHeight="false" outlineLevel="0" collapsed="false">
      <c r="A82" s="567"/>
      <c r="B82" s="579" t="n">
        <v>2</v>
      </c>
      <c r="C82" s="580" t="s">
        <v>163</v>
      </c>
      <c r="D82" s="581" t="s">
        <v>468</v>
      </c>
      <c r="E82" s="582" t="n">
        <v>1</v>
      </c>
      <c r="F82" s="567"/>
    </row>
    <row r="83" customFormat="false" ht="15" hidden="false" customHeight="false" outlineLevel="0" collapsed="false">
      <c r="A83" s="567"/>
      <c r="B83" s="579" t="n">
        <v>3</v>
      </c>
      <c r="C83" s="580" t="s">
        <v>277</v>
      </c>
      <c r="D83" s="581" t="s">
        <v>469</v>
      </c>
      <c r="E83" s="582" t="n">
        <v>1</v>
      </c>
      <c r="F83" s="567"/>
    </row>
    <row r="84" customFormat="false" ht="15" hidden="false" customHeight="false" outlineLevel="0" collapsed="false">
      <c r="A84" s="567"/>
      <c r="B84" s="579" t="n">
        <v>4</v>
      </c>
      <c r="C84" s="580" t="s">
        <v>279</v>
      </c>
      <c r="D84" s="581" t="s">
        <v>470</v>
      </c>
      <c r="E84" s="582" t="n">
        <v>1</v>
      </c>
      <c r="F84" s="567"/>
    </row>
    <row r="85" customFormat="false" ht="15" hidden="false" customHeight="false" outlineLevel="0" collapsed="false">
      <c r="A85" s="567"/>
      <c r="B85" s="579" t="n">
        <v>5</v>
      </c>
      <c r="C85" s="580" t="s">
        <v>386</v>
      </c>
      <c r="D85" s="581" t="s">
        <v>471</v>
      </c>
      <c r="E85" s="582" t="n">
        <v>1</v>
      </c>
      <c r="F85" s="567"/>
    </row>
    <row r="86" customFormat="false" ht="15" hidden="false" customHeight="false" outlineLevel="0" collapsed="false">
      <c r="A86" s="567"/>
      <c r="B86" s="579" t="n">
        <v>6</v>
      </c>
      <c r="C86" s="580"/>
      <c r="D86" s="581"/>
      <c r="E86" s="582"/>
      <c r="F86" s="567"/>
    </row>
    <row r="87" customFormat="false" ht="15" hidden="false" customHeight="false" outlineLevel="0" collapsed="false">
      <c r="A87" s="567"/>
      <c r="B87" s="579" t="n">
        <v>7</v>
      </c>
      <c r="C87" s="580"/>
      <c r="D87" s="581"/>
      <c r="E87" s="582"/>
      <c r="F87" s="567"/>
    </row>
    <row r="88" customFormat="false" ht="15" hidden="false" customHeight="false" outlineLevel="0" collapsed="false">
      <c r="A88" s="567"/>
      <c r="B88" s="579" t="n">
        <v>8</v>
      </c>
      <c r="C88" s="580"/>
      <c r="D88" s="581"/>
      <c r="E88" s="582"/>
      <c r="F88" s="567"/>
    </row>
    <row r="89" customFormat="false" ht="15" hidden="false" customHeight="false" outlineLevel="0" collapsed="false">
      <c r="A89" s="567"/>
      <c r="B89" s="579" t="n">
        <v>9</v>
      </c>
      <c r="C89" s="580"/>
      <c r="D89" s="581"/>
      <c r="E89" s="582"/>
      <c r="F89" s="567"/>
      <c r="M89" s="488"/>
    </row>
    <row r="90" customFormat="false" ht="15" hidden="false" customHeight="false" outlineLevel="0" collapsed="false">
      <c r="A90" s="567"/>
      <c r="B90" s="579" t="n">
        <v>10</v>
      </c>
      <c r="C90" s="580"/>
      <c r="D90" s="581"/>
      <c r="E90" s="582"/>
      <c r="F90" s="567"/>
    </row>
    <row r="91" customFormat="false" ht="15" hidden="false" customHeight="false" outlineLevel="0" collapsed="false">
      <c r="A91" s="567"/>
      <c r="B91" s="579" t="n">
        <v>11</v>
      </c>
      <c r="C91" s="580"/>
      <c r="D91" s="581"/>
      <c r="E91" s="582"/>
      <c r="F91" s="567"/>
    </row>
    <row r="92" customFormat="false" ht="15.75" hidden="false" customHeight="false" outlineLevel="0" collapsed="false">
      <c r="A92" s="567"/>
      <c r="B92" s="583" t="n">
        <v>12</v>
      </c>
      <c r="C92" s="584"/>
      <c r="D92" s="585"/>
      <c r="E92" s="586"/>
      <c r="F92" s="567"/>
    </row>
    <row r="93" customFormat="false" ht="15.75" hidden="false" customHeight="false" outlineLevel="0" collapsed="false">
      <c r="A93" s="567"/>
      <c r="B93" s="587"/>
      <c r="C93" s="588"/>
      <c r="D93" s="587"/>
      <c r="E93" s="587"/>
      <c r="F93" s="567"/>
    </row>
    <row r="94" customFormat="false" ht="15.75" hidden="false" customHeight="false" outlineLevel="0" collapsed="false">
      <c r="A94" s="567"/>
      <c r="B94" s="568" t="s">
        <v>462</v>
      </c>
      <c r="C94" s="569" t="s">
        <v>38</v>
      </c>
      <c r="D94" s="570" t="s">
        <v>463</v>
      </c>
      <c r="E94" s="571" t="s">
        <v>37</v>
      </c>
      <c r="F94" s="567"/>
    </row>
    <row r="95" customFormat="false" ht="15.75" hidden="false" customHeight="false" outlineLevel="0" collapsed="false">
      <c r="A95" s="567"/>
      <c r="B95" s="572" t="s">
        <v>41</v>
      </c>
      <c r="C95" s="573" t="s">
        <v>464</v>
      </c>
      <c r="D95" s="574" t="s">
        <v>465</v>
      </c>
      <c r="E95" s="573" t="s">
        <v>466</v>
      </c>
      <c r="F95" s="567"/>
    </row>
    <row r="96" customFormat="false" ht="15" hidden="false" customHeight="false" outlineLevel="0" collapsed="false">
      <c r="A96" s="567"/>
      <c r="B96" s="575" t="n">
        <v>1</v>
      </c>
      <c r="C96" s="576" t="s">
        <v>135</v>
      </c>
      <c r="D96" s="577" t="s">
        <v>467</v>
      </c>
      <c r="E96" s="578" t="n">
        <v>1</v>
      </c>
      <c r="F96" s="567"/>
    </row>
    <row r="97" customFormat="false" ht="15" hidden="false" customHeight="false" outlineLevel="0" collapsed="false">
      <c r="A97" s="567"/>
      <c r="B97" s="579" t="n">
        <v>2</v>
      </c>
      <c r="C97" s="580" t="s">
        <v>193</v>
      </c>
      <c r="D97" s="581" t="s">
        <v>468</v>
      </c>
      <c r="E97" s="582" t="n">
        <v>1</v>
      </c>
      <c r="F97" s="567"/>
    </row>
    <row r="98" customFormat="false" ht="15" hidden="false" customHeight="false" outlineLevel="0" collapsed="false">
      <c r="A98" s="567"/>
      <c r="B98" s="579" t="n">
        <v>3</v>
      </c>
      <c r="C98" s="580" t="s">
        <v>269</v>
      </c>
      <c r="D98" s="581" t="s">
        <v>472</v>
      </c>
      <c r="E98" s="582" t="n">
        <v>2</v>
      </c>
      <c r="F98" s="567"/>
    </row>
    <row r="99" customFormat="false" ht="15" hidden="false" customHeight="false" outlineLevel="0" collapsed="false">
      <c r="A99" s="567"/>
      <c r="B99" s="579" t="n">
        <v>4</v>
      </c>
      <c r="C99" s="580" t="s">
        <v>393</v>
      </c>
      <c r="D99" s="581" t="s">
        <v>471</v>
      </c>
      <c r="E99" s="582" t="n">
        <v>1</v>
      </c>
      <c r="F99" s="567"/>
    </row>
    <row r="100" customFormat="false" ht="15" hidden="false" customHeight="false" outlineLevel="0" collapsed="false">
      <c r="A100" s="567"/>
      <c r="B100" s="579" t="n">
        <v>5</v>
      </c>
      <c r="C100" s="580"/>
      <c r="D100" s="581"/>
      <c r="E100" s="582"/>
      <c r="F100" s="567"/>
    </row>
    <row r="101" customFormat="false" ht="15" hidden="false" customHeight="false" outlineLevel="0" collapsed="false">
      <c r="A101" s="567"/>
      <c r="B101" s="579" t="n">
        <v>6</v>
      </c>
      <c r="C101" s="580"/>
      <c r="D101" s="581"/>
      <c r="E101" s="582"/>
      <c r="F101" s="567"/>
    </row>
    <row r="102" customFormat="false" ht="15" hidden="false" customHeight="false" outlineLevel="0" collapsed="false">
      <c r="A102" s="567"/>
      <c r="B102" s="579" t="n">
        <v>7</v>
      </c>
      <c r="C102" s="580"/>
      <c r="D102" s="581"/>
      <c r="E102" s="582"/>
      <c r="F102" s="567"/>
    </row>
    <row r="103" customFormat="false" ht="15" hidden="false" customHeight="false" outlineLevel="0" collapsed="false">
      <c r="A103" s="567"/>
      <c r="B103" s="579" t="n">
        <v>8</v>
      </c>
      <c r="C103" s="580"/>
      <c r="D103" s="581"/>
      <c r="E103" s="582"/>
      <c r="F103" s="567"/>
    </row>
    <row r="104" customFormat="false" ht="15" hidden="false" customHeight="false" outlineLevel="0" collapsed="false">
      <c r="A104" s="567"/>
      <c r="B104" s="579" t="n">
        <v>9</v>
      </c>
      <c r="C104" s="580"/>
      <c r="D104" s="581"/>
      <c r="E104" s="582"/>
      <c r="F104" s="567"/>
    </row>
    <row r="105" customFormat="false" ht="15" hidden="false" customHeight="false" outlineLevel="0" collapsed="false">
      <c r="A105" s="567"/>
      <c r="B105" s="579" t="n">
        <v>10</v>
      </c>
      <c r="C105" s="580"/>
      <c r="D105" s="581"/>
      <c r="E105" s="582"/>
      <c r="F105" s="567"/>
    </row>
    <row r="106" customFormat="false" ht="15" hidden="false" customHeight="false" outlineLevel="0" collapsed="false">
      <c r="A106" s="567"/>
      <c r="B106" s="579" t="n">
        <v>11</v>
      </c>
      <c r="C106" s="580"/>
      <c r="D106" s="581"/>
      <c r="E106" s="582"/>
      <c r="F106" s="567"/>
    </row>
    <row r="107" customFormat="false" ht="15.75" hidden="false" customHeight="false" outlineLevel="0" collapsed="false">
      <c r="A107" s="567"/>
      <c r="B107" s="583" t="n">
        <v>12</v>
      </c>
      <c r="C107" s="584"/>
      <c r="D107" s="585"/>
      <c r="E107" s="586"/>
      <c r="F107" s="567"/>
    </row>
    <row r="108" customFormat="false" ht="15.75" hidden="false" customHeight="false" outlineLevel="0" collapsed="false">
      <c r="A108" s="567"/>
      <c r="B108" s="587"/>
      <c r="C108" s="588"/>
      <c r="D108" s="587"/>
      <c r="E108" s="587"/>
      <c r="F108" s="567"/>
    </row>
    <row r="109" customFormat="false" ht="15.75" hidden="false" customHeight="false" outlineLevel="0" collapsed="false">
      <c r="A109" s="567"/>
      <c r="B109" s="568" t="s">
        <v>462</v>
      </c>
      <c r="C109" s="569" t="s">
        <v>12</v>
      </c>
      <c r="D109" s="570" t="s">
        <v>463</v>
      </c>
      <c r="E109" s="571" t="s">
        <v>11</v>
      </c>
      <c r="F109" s="567"/>
    </row>
    <row r="110" customFormat="false" ht="15.75" hidden="false" customHeight="false" outlineLevel="0" collapsed="false">
      <c r="A110" s="567"/>
      <c r="B110" s="572" t="s">
        <v>41</v>
      </c>
      <c r="C110" s="573" t="s">
        <v>464</v>
      </c>
      <c r="D110" s="574" t="s">
        <v>465</v>
      </c>
      <c r="E110" s="573" t="s">
        <v>466</v>
      </c>
      <c r="F110" s="567"/>
    </row>
    <row r="111" customFormat="false" ht="15" hidden="false" customHeight="false" outlineLevel="0" collapsed="false">
      <c r="A111" s="567"/>
      <c r="B111" s="575" t="n">
        <v>1</v>
      </c>
      <c r="C111" s="576" t="s">
        <v>227</v>
      </c>
      <c r="D111" s="577" t="s">
        <v>467</v>
      </c>
      <c r="E111" s="578" t="n">
        <v>1</v>
      </c>
      <c r="F111" s="567"/>
    </row>
    <row r="112" customFormat="false" ht="15" hidden="false" customHeight="false" outlineLevel="0" collapsed="false">
      <c r="A112" s="567"/>
      <c r="B112" s="579" t="n">
        <v>2</v>
      </c>
      <c r="C112" s="580" t="s">
        <v>111</v>
      </c>
      <c r="D112" s="581" t="s">
        <v>468</v>
      </c>
      <c r="E112" s="582" t="n">
        <v>1</v>
      </c>
      <c r="F112" s="567"/>
    </row>
    <row r="113" customFormat="false" ht="15" hidden="false" customHeight="false" outlineLevel="0" collapsed="false">
      <c r="A113" s="567"/>
      <c r="B113" s="579" t="n">
        <v>3</v>
      </c>
      <c r="C113" s="580" t="s">
        <v>65</v>
      </c>
      <c r="D113" s="581" t="s">
        <v>469</v>
      </c>
      <c r="E113" s="582" t="n">
        <v>1</v>
      </c>
      <c r="F113" s="567"/>
    </row>
    <row r="114" customFormat="false" ht="15" hidden="false" customHeight="false" outlineLevel="0" collapsed="false">
      <c r="A114" s="567"/>
      <c r="B114" s="579" t="n">
        <v>4</v>
      </c>
      <c r="C114" s="580" t="s">
        <v>163</v>
      </c>
      <c r="D114" s="581" t="s">
        <v>470</v>
      </c>
      <c r="E114" s="582" t="n">
        <v>1</v>
      </c>
      <c r="F114" s="567"/>
    </row>
    <row r="115" customFormat="false" ht="15" hidden="false" customHeight="false" outlineLevel="0" collapsed="false">
      <c r="A115" s="567"/>
      <c r="B115" s="579" t="n">
        <v>5</v>
      </c>
      <c r="C115" s="580" t="s">
        <v>161</v>
      </c>
      <c r="D115" s="581" t="s">
        <v>471</v>
      </c>
      <c r="E115" s="582" t="n">
        <v>1</v>
      </c>
      <c r="F115" s="567"/>
    </row>
    <row r="116" customFormat="false" ht="15" hidden="false" customHeight="false" outlineLevel="0" collapsed="false">
      <c r="A116" s="567"/>
      <c r="B116" s="579" t="n">
        <v>6</v>
      </c>
      <c r="C116" s="580"/>
      <c r="D116" s="581"/>
      <c r="E116" s="582"/>
      <c r="F116" s="567"/>
    </row>
    <row r="117" customFormat="false" ht="15" hidden="false" customHeight="false" outlineLevel="0" collapsed="false">
      <c r="A117" s="567"/>
      <c r="B117" s="579" t="n">
        <v>7</v>
      </c>
      <c r="C117" s="580"/>
      <c r="D117" s="581"/>
      <c r="E117" s="582"/>
      <c r="F117" s="567"/>
    </row>
    <row r="118" customFormat="false" ht="15" hidden="false" customHeight="false" outlineLevel="0" collapsed="false">
      <c r="A118" s="567"/>
      <c r="B118" s="579" t="n">
        <v>8</v>
      </c>
      <c r="C118" s="580"/>
      <c r="D118" s="581"/>
      <c r="E118" s="582"/>
      <c r="F118" s="567"/>
    </row>
    <row r="119" customFormat="false" ht="15" hidden="false" customHeight="false" outlineLevel="0" collapsed="false">
      <c r="A119" s="567"/>
      <c r="B119" s="579" t="n">
        <v>9</v>
      </c>
      <c r="C119" s="580"/>
      <c r="D119" s="581"/>
      <c r="E119" s="582"/>
      <c r="F119" s="567"/>
    </row>
    <row r="120" customFormat="false" ht="15" hidden="false" customHeight="false" outlineLevel="0" collapsed="false">
      <c r="A120" s="567"/>
      <c r="B120" s="579" t="n">
        <v>10</v>
      </c>
      <c r="C120" s="580"/>
      <c r="D120" s="581"/>
      <c r="E120" s="582"/>
      <c r="F120" s="567"/>
    </row>
    <row r="121" customFormat="false" ht="15" hidden="false" customHeight="false" outlineLevel="0" collapsed="false">
      <c r="A121" s="567"/>
      <c r="B121" s="579" t="n">
        <v>11</v>
      </c>
      <c r="C121" s="580"/>
      <c r="D121" s="581"/>
      <c r="E121" s="582"/>
      <c r="F121" s="567"/>
    </row>
    <row r="122" customFormat="false" ht="15.75" hidden="false" customHeight="false" outlineLevel="0" collapsed="false">
      <c r="A122" s="567"/>
      <c r="B122" s="583" t="n">
        <v>12</v>
      </c>
      <c r="C122" s="584"/>
      <c r="D122" s="585"/>
      <c r="E122" s="586"/>
      <c r="F122" s="567"/>
    </row>
    <row r="123" customFormat="false" ht="15.75" hidden="false" customHeight="false" outlineLevel="0" collapsed="false">
      <c r="A123" s="567"/>
      <c r="B123" s="567"/>
      <c r="C123" s="567"/>
      <c r="D123" s="567"/>
      <c r="E123" s="567"/>
      <c r="F123" s="567"/>
    </row>
    <row r="124" customFormat="false" ht="15.75" hidden="false" customHeight="false" outlineLevel="0" collapsed="false">
      <c r="A124" s="567"/>
      <c r="B124" s="568" t="s">
        <v>462</v>
      </c>
      <c r="C124" s="569" t="s">
        <v>236</v>
      </c>
      <c r="D124" s="570" t="s">
        <v>463</v>
      </c>
      <c r="E124" s="571" t="s">
        <v>235</v>
      </c>
      <c r="F124" s="567"/>
    </row>
    <row r="125" customFormat="false" ht="15.75" hidden="false" customHeight="false" outlineLevel="0" collapsed="false">
      <c r="A125" s="567"/>
      <c r="B125" s="572" t="s">
        <v>41</v>
      </c>
      <c r="C125" s="573" t="s">
        <v>464</v>
      </c>
      <c r="D125" s="574" t="s">
        <v>465</v>
      </c>
      <c r="E125" s="573" t="s">
        <v>466</v>
      </c>
      <c r="F125" s="567"/>
    </row>
    <row r="126" customFormat="false" ht="15" hidden="false" customHeight="false" outlineLevel="0" collapsed="false">
      <c r="A126" s="567"/>
      <c r="B126" s="575" t="n">
        <v>1</v>
      </c>
      <c r="C126" s="576" t="s">
        <v>367</v>
      </c>
      <c r="D126" s="577" t="s">
        <v>470</v>
      </c>
      <c r="E126" s="578" t="n">
        <v>1</v>
      </c>
      <c r="F126" s="567"/>
    </row>
    <row r="127" customFormat="false" ht="15" hidden="false" customHeight="false" outlineLevel="0" collapsed="false">
      <c r="A127" s="567"/>
      <c r="B127" s="579" t="n">
        <v>2</v>
      </c>
      <c r="C127" s="580" t="s">
        <v>210</v>
      </c>
      <c r="D127" s="581" t="s">
        <v>470</v>
      </c>
      <c r="E127" s="582" t="n">
        <v>1</v>
      </c>
      <c r="F127" s="567"/>
    </row>
    <row r="128" customFormat="false" ht="15" hidden="false" customHeight="false" outlineLevel="0" collapsed="false">
      <c r="A128" s="567"/>
      <c r="B128" s="579" t="n">
        <v>3</v>
      </c>
      <c r="C128" s="580" t="s">
        <v>413</v>
      </c>
      <c r="D128" s="581" t="s">
        <v>471</v>
      </c>
      <c r="E128" s="582" t="n">
        <v>1</v>
      </c>
      <c r="F128" s="567"/>
    </row>
    <row r="129" customFormat="false" ht="15" hidden="false" customHeight="false" outlineLevel="0" collapsed="false">
      <c r="A129" s="567"/>
      <c r="B129" s="579" t="n">
        <v>4</v>
      </c>
      <c r="C129" s="580"/>
      <c r="D129" s="581"/>
      <c r="E129" s="582"/>
      <c r="F129" s="567"/>
    </row>
    <row r="130" customFormat="false" ht="15" hidden="false" customHeight="false" outlineLevel="0" collapsed="false">
      <c r="A130" s="567"/>
      <c r="B130" s="579" t="n">
        <v>5</v>
      </c>
      <c r="C130" s="580"/>
      <c r="D130" s="581"/>
      <c r="E130" s="582"/>
      <c r="F130" s="567"/>
    </row>
    <row r="131" customFormat="false" ht="15" hidden="false" customHeight="false" outlineLevel="0" collapsed="false">
      <c r="A131" s="567"/>
      <c r="B131" s="579" t="n">
        <v>6</v>
      </c>
      <c r="C131" s="580"/>
      <c r="D131" s="581"/>
      <c r="E131" s="582"/>
      <c r="F131" s="567"/>
    </row>
    <row r="132" customFormat="false" ht="15" hidden="false" customHeight="false" outlineLevel="0" collapsed="false">
      <c r="A132" s="567"/>
      <c r="B132" s="579" t="n">
        <v>7</v>
      </c>
      <c r="C132" s="580"/>
      <c r="D132" s="581"/>
      <c r="E132" s="582"/>
      <c r="F132" s="567"/>
    </row>
    <row r="133" customFormat="false" ht="15" hidden="false" customHeight="false" outlineLevel="0" collapsed="false">
      <c r="A133" s="567"/>
      <c r="B133" s="579" t="n">
        <v>8</v>
      </c>
      <c r="C133" s="580"/>
      <c r="D133" s="581"/>
      <c r="E133" s="582"/>
      <c r="F133" s="567"/>
    </row>
    <row r="134" customFormat="false" ht="15" hidden="false" customHeight="false" outlineLevel="0" collapsed="false">
      <c r="A134" s="567"/>
      <c r="B134" s="579" t="n">
        <v>9</v>
      </c>
      <c r="C134" s="580"/>
      <c r="D134" s="581"/>
      <c r="E134" s="582"/>
      <c r="F134" s="567"/>
    </row>
    <row r="135" customFormat="false" ht="15" hidden="false" customHeight="false" outlineLevel="0" collapsed="false">
      <c r="A135" s="567"/>
      <c r="B135" s="579" t="n">
        <v>10</v>
      </c>
      <c r="C135" s="580"/>
      <c r="D135" s="581"/>
      <c r="E135" s="582"/>
      <c r="F135" s="567"/>
    </row>
    <row r="136" customFormat="false" ht="15" hidden="false" customHeight="false" outlineLevel="0" collapsed="false">
      <c r="A136" s="567"/>
      <c r="B136" s="579" t="n">
        <v>11</v>
      </c>
      <c r="C136" s="580"/>
      <c r="D136" s="581"/>
      <c r="E136" s="582"/>
      <c r="F136" s="567"/>
    </row>
    <row r="137" customFormat="false" ht="15.75" hidden="false" customHeight="false" outlineLevel="0" collapsed="false">
      <c r="A137" s="567"/>
      <c r="B137" s="583" t="n">
        <v>12</v>
      </c>
      <c r="C137" s="584"/>
      <c r="D137" s="585"/>
      <c r="E137" s="586"/>
      <c r="F137" s="567"/>
    </row>
    <row r="138" customFormat="false" ht="15.75" hidden="false" customHeight="false" outlineLevel="0" collapsed="false">
      <c r="A138" s="567"/>
      <c r="B138" s="567"/>
      <c r="C138" s="567"/>
      <c r="D138" s="567"/>
      <c r="E138" s="567"/>
      <c r="F138" s="567"/>
    </row>
    <row r="139" customFormat="false" ht="15.75" hidden="false" customHeight="false" outlineLevel="0" collapsed="false">
      <c r="A139" s="567"/>
      <c r="B139" s="568" t="s">
        <v>462</v>
      </c>
      <c r="C139" s="569" t="s">
        <v>45</v>
      </c>
      <c r="D139" s="570" t="s">
        <v>463</v>
      </c>
      <c r="E139" s="571" t="s">
        <v>44</v>
      </c>
      <c r="F139" s="567"/>
    </row>
    <row r="140" customFormat="false" ht="15.75" hidden="false" customHeight="false" outlineLevel="0" collapsed="false">
      <c r="A140" s="567"/>
      <c r="B140" s="572" t="s">
        <v>41</v>
      </c>
      <c r="C140" s="573" t="s">
        <v>464</v>
      </c>
      <c r="D140" s="574" t="s">
        <v>465</v>
      </c>
      <c r="E140" s="573" t="s">
        <v>466</v>
      </c>
      <c r="F140" s="567"/>
    </row>
    <row r="141" customFormat="false" ht="15" hidden="false" customHeight="false" outlineLevel="0" collapsed="false">
      <c r="A141" s="567"/>
      <c r="B141" s="575" t="n">
        <v>1</v>
      </c>
      <c r="C141" s="576" t="s">
        <v>226</v>
      </c>
      <c r="D141" s="577" t="s">
        <v>467</v>
      </c>
      <c r="E141" s="578" t="n">
        <v>1</v>
      </c>
      <c r="F141" s="567"/>
    </row>
    <row r="142" customFormat="false" ht="15" hidden="false" customHeight="false" outlineLevel="0" collapsed="false">
      <c r="A142" s="567"/>
      <c r="B142" s="579" t="n">
        <v>2</v>
      </c>
      <c r="C142" s="580" t="s">
        <v>75</v>
      </c>
      <c r="D142" s="581" t="s">
        <v>467</v>
      </c>
      <c r="E142" s="582" t="n">
        <v>1</v>
      </c>
      <c r="F142" s="567"/>
    </row>
    <row r="143" customFormat="false" ht="15" hidden="false" customHeight="false" outlineLevel="0" collapsed="false">
      <c r="A143" s="567"/>
      <c r="B143" s="579" t="n">
        <v>3</v>
      </c>
      <c r="C143" s="580"/>
      <c r="D143" s="581"/>
      <c r="E143" s="582"/>
      <c r="F143" s="567"/>
    </row>
    <row r="144" customFormat="false" ht="15" hidden="false" customHeight="false" outlineLevel="0" collapsed="false">
      <c r="A144" s="567"/>
      <c r="B144" s="579" t="n">
        <v>4</v>
      </c>
      <c r="C144" s="580"/>
      <c r="D144" s="581"/>
      <c r="E144" s="582"/>
      <c r="F144" s="567"/>
    </row>
    <row r="145" customFormat="false" ht="15" hidden="false" customHeight="false" outlineLevel="0" collapsed="false">
      <c r="A145" s="567"/>
      <c r="B145" s="579" t="n">
        <v>5</v>
      </c>
      <c r="C145" s="580"/>
      <c r="D145" s="581"/>
      <c r="E145" s="582"/>
      <c r="F145" s="567"/>
    </row>
    <row r="146" customFormat="false" ht="15" hidden="false" customHeight="false" outlineLevel="0" collapsed="false">
      <c r="A146" s="567"/>
      <c r="B146" s="579" t="n">
        <v>6</v>
      </c>
      <c r="C146" s="580"/>
      <c r="D146" s="581"/>
      <c r="E146" s="582"/>
      <c r="F146" s="567"/>
    </row>
    <row r="147" customFormat="false" ht="15" hidden="false" customHeight="false" outlineLevel="0" collapsed="false">
      <c r="A147" s="567"/>
      <c r="B147" s="579" t="n">
        <v>7</v>
      </c>
      <c r="C147" s="580"/>
      <c r="D147" s="581"/>
      <c r="E147" s="582"/>
      <c r="F147" s="567"/>
    </row>
    <row r="148" customFormat="false" ht="15" hidden="false" customHeight="false" outlineLevel="0" collapsed="false">
      <c r="A148" s="567"/>
      <c r="B148" s="579" t="n">
        <v>8</v>
      </c>
      <c r="C148" s="580"/>
      <c r="D148" s="581"/>
      <c r="E148" s="582"/>
      <c r="F148" s="567"/>
    </row>
    <row r="149" customFormat="false" ht="15" hidden="false" customHeight="false" outlineLevel="0" collapsed="false">
      <c r="A149" s="567"/>
      <c r="B149" s="579" t="n">
        <v>9</v>
      </c>
      <c r="C149" s="580"/>
      <c r="D149" s="581"/>
      <c r="E149" s="582"/>
      <c r="F149" s="567"/>
    </row>
    <row r="150" customFormat="false" ht="15" hidden="false" customHeight="false" outlineLevel="0" collapsed="false">
      <c r="A150" s="567"/>
      <c r="B150" s="579" t="n">
        <v>10</v>
      </c>
      <c r="C150" s="580"/>
      <c r="D150" s="581"/>
      <c r="E150" s="582"/>
      <c r="F150" s="567"/>
    </row>
    <row r="151" customFormat="false" ht="15" hidden="false" customHeight="false" outlineLevel="0" collapsed="false">
      <c r="A151" s="567"/>
      <c r="B151" s="579" t="n">
        <v>11</v>
      </c>
      <c r="C151" s="580"/>
      <c r="D151" s="581"/>
      <c r="E151" s="582"/>
      <c r="F151" s="567"/>
    </row>
    <row r="152" customFormat="false" ht="15.75" hidden="false" customHeight="false" outlineLevel="0" collapsed="false">
      <c r="A152" s="567"/>
      <c r="B152" s="583" t="n">
        <v>12</v>
      </c>
      <c r="C152" s="584"/>
      <c r="D152" s="585"/>
      <c r="E152" s="586"/>
      <c r="F152" s="567"/>
    </row>
    <row r="153" customFormat="false" ht="15.75" hidden="false" customHeight="false" outlineLevel="0" collapsed="false">
      <c r="A153" s="567"/>
      <c r="B153" s="567"/>
      <c r="C153" s="567"/>
      <c r="D153" s="567"/>
      <c r="E153" s="567"/>
      <c r="F153" s="567"/>
    </row>
    <row r="154" customFormat="false" ht="15.75" hidden="false" customHeight="false" outlineLevel="0" collapsed="false">
      <c r="A154" s="567"/>
      <c r="B154" s="568" t="s">
        <v>462</v>
      </c>
      <c r="C154" s="569" t="s">
        <v>27</v>
      </c>
      <c r="D154" s="570" t="s">
        <v>463</v>
      </c>
      <c r="E154" s="571" t="s">
        <v>26</v>
      </c>
      <c r="F154" s="567"/>
    </row>
    <row r="155" customFormat="false" ht="15.75" hidden="false" customHeight="false" outlineLevel="0" collapsed="false">
      <c r="A155" s="567"/>
      <c r="B155" s="572" t="s">
        <v>41</v>
      </c>
      <c r="C155" s="573" t="s">
        <v>464</v>
      </c>
      <c r="D155" s="574" t="s">
        <v>465</v>
      </c>
      <c r="E155" s="573" t="s">
        <v>466</v>
      </c>
      <c r="F155" s="567"/>
    </row>
    <row r="156" customFormat="false" ht="15" hidden="false" customHeight="false" outlineLevel="0" collapsed="false">
      <c r="A156" s="567"/>
      <c r="B156" s="575" t="n">
        <v>1</v>
      </c>
      <c r="C156" s="576" t="s">
        <v>119</v>
      </c>
      <c r="D156" s="577" t="s">
        <v>467</v>
      </c>
      <c r="E156" s="578" t="n">
        <v>1</v>
      </c>
      <c r="F156" s="567"/>
    </row>
    <row r="157" customFormat="false" ht="15" hidden="false" customHeight="false" outlineLevel="0" collapsed="false">
      <c r="A157" s="567"/>
      <c r="B157" s="579" t="n">
        <v>2</v>
      </c>
      <c r="C157" s="580" t="s">
        <v>190</v>
      </c>
      <c r="D157" s="581" t="s">
        <v>468</v>
      </c>
      <c r="E157" s="582" t="n">
        <v>1</v>
      </c>
      <c r="F157" s="567"/>
    </row>
    <row r="158" customFormat="false" ht="15" hidden="false" customHeight="false" outlineLevel="0" collapsed="false">
      <c r="A158" s="567"/>
      <c r="B158" s="579" t="n">
        <v>3</v>
      </c>
      <c r="C158" s="580" t="s">
        <v>279</v>
      </c>
      <c r="D158" s="581" t="s">
        <v>469</v>
      </c>
      <c r="E158" s="582" t="n">
        <v>1</v>
      </c>
      <c r="F158" s="567"/>
    </row>
    <row r="159" customFormat="false" ht="15" hidden="false" customHeight="false" outlineLevel="0" collapsed="false">
      <c r="A159" s="567"/>
      <c r="B159" s="579" t="n">
        <v>4</v>
      </c>
      <c r="C159" s="580" t="s">
        <v>346</v>
      </c>
      <c r="D159" s="581" t="s">
        <v>473</v>
      </c>
      <c r="E159" s="582" t="n">
        <v>2</v>
      </c>
      <c r="F159" s="567"/>
    </row>
    <row r="160" customFormat="false" ht="15" hidden="false" customHeight="false" outlineLevel="0" collapsed="false">
      <c r="A160" s="567"/>
      <c r="B160" s="579" t="n">
        <v>5</v>
      </c>
      <c r="C160" s="580"/>
      <c r="D160" s="581"/>
      <c r="E160" s="582"/>
      <c r="F160" s="567"/>
    </row>
    <row r="161" customFormat="false" ht="15" hidden="false" customHeight="false" outlineLevel="0" collapsed="false">
      <c r="A161" s="567"/>
      <c r="B161" s="579" t="n">
        <v>6</v>
      </c>
      <c r="C161" s="580"/>
      <c r="D161" s="581"/>
      <c r="E161" s="582"/>
      <c r="F161" s="567"/>
    </row>
    <row r="162" customFormat="false" ht="15" hidden="false" customHeight="false" outlineLevel="0" collapsed="false">
      <c r="A162" s="567"/>
      <c r="B162" s="579" t="n">
        <v>7</v>
      </c>
      <c r="C162" s="580"/>
      <c r="D162" s="581"/>
      <c r="E162" s="582"/>
      <c r="F162" s="567"/>
    </row>
    <row r="163" customFormat="false" ht="15" hidden="false" customHeight="false" outlineLevel="0" collapsed="false">
      <c r="A163" s="567"/>
      <c r="B163" s="579" t="n">
        <v>8</v>
      </c>
      <c r="C163" s="580"/>
      <c r="D163" s="581"/>
      <c r="E163" s="582"/>
      <c r="F163" s="567"/>
    </row>
    <row r="164" customFormat="false" ht="15" hidden="false" customHeight="false" outlineLevel="0" collapsed="false">
      <c r="A164" s="567"/>
      <c r="B164" s="579" t="n">
        <v>9</v>
      </c>
      <c r="C164" s="580"/>
      <c r="D164" s="581"/>
      <c r="E164" s="582"/>
      <c r="F164" s="567"/>
    </row>
    <row r="165" customFormat="false" ht="15" hidden="false" customHeight="false" outlineLevel="0" collapsed="false">
      <c r="A165" s="567"/>
      <c r="B165" s="579" t="n">
        <v>10</v>
      </c>
      <c r="C165" s="580"/>
      <c r="D165" s="581"/>
      <c r="E165" s="582"/>
      <c r="F165" s="567"/>
    </row>
    <row r="166" customFormat="false" ht="15" hidden="false" customHeight="false" outlineLevel="0" collapsed="false">
      <c r="A166" s="567"/>
      <c r="B166" s="579" t="n">
        <v>11</v>
      </c>
      <c r="C166" s="580"/>
      <c r="D166" s="581"/>
      <c r="E166" s="582"/>
      <c r="F166" s="567"/>
    </row>
    <row r="167" customFormat="false" ht="15.75" hidden="false" customHeight="false" outlineLevel="0" collapsed="false">
      <c r="A167" s="567"/>
      <c r="B167" s="583" t="n">
        <v>12</v>
      </c>
      <c r="C167" s="584"/>
      <c r="D167" s="585"/>
      <c r="E167" s="586"/>
      <c r="F167" s="567"/>
    </row>
    <row r="168" customFormat="false" ht="15.75" hidden="false" customHeight="false" outlineLevel="0" collapsed="false">
      <c r="A168" s="567"/>
      <c r="B168" s="567"/>
      <c r="C168" s="567"/>
      <c r="D168" s="567"/>
      <c r="E168" s="567"/>
      <c r="F168" s="567"/>
    </row>
    <row r="169" customFormat="false" ht="15.75" hidden="false" customHeight="false" outlineLevel="0" collapsed="false">
      <c r="A169" s="567"/>
      <c r="B169" s="568" t="s">
        <v>462</v>
      </c>
      <c r="C169" s="569" t="s">
        <v>18</v>
      </c>
      <c r="D169" s="570" t="s">
        <v>463</v>
      </c>
      <c r="E169" s="571" t="s">
        <v>17</v>
      </c>
      <c r="F169" s="567"/>
    </row>
    <row r="170" customFormat="false" ht="15.75" hidden="false" customHeight="false" outlineLevel="0" collapsed="false">
      <c r="A170" s="567"/>
      <c r="B170" s="572" t="s">
        <v>41</v>
      </c>
      <c r="C170" s="573" t="s">
        <v>464</v>
      </c>
      <c r="D170" s="574" t="s">
        <v>465</v>
      </c>
      <c r="E170" s="573" t="s">
        <v>466</v>
      </c>
      <c r="F170" s="567"/>
    </row>
    <row r="171" customFormat="false" ht="15" hidden="false" customHeight="false" outlineLevel="0" collapsed="false">
      <c r="A171" s="567"/>
      <c r="B171" s="575" t="n">
        <v>1</v>
      </c>
      <c r="C171" s="576" t="s">
        <v>367</v>
      </c>
      <c r="D171" s="577" t="s">
        <v>474</v>
      </c>
      <c r="E171" s="578" t="n">
        <v>2</v>
      </c>
      <c r="F171" s="567"/>
    </row>
    <row r="172" customFormat="false" ht="15" hidden="false" customHeight="false" outlineLevel="0" collapsed="false">
      <c r="A172" s="567"/>
      <c r="B172" s="579" t="n">
        <v>2</v>
      </c>
      <c r="C172" s="580" t="s">
        <v>67</v>
      </c>
      <c r="D172" s="581" t="s">
        <v>475</v>
      </c>
      <c r="E172" s="582" t="n">
        <v>2</v>
      </c>
      <c r="F172" s="567"/>
    </row>
    <row r="173" customFormat="false" ht="15" hidden="false" customHeight="false" outlineLevel="0" collapsed="false">
      <c r="A173" s="567"/>
      <c r="B173" s="579" t="n">
        <v>3</v>
      </c>
      <c r="C173" s="580" t="s">
        <v>320</v>
      </c>
      <c r="D173" s="581" t="s">
        <v>470</v>
      </c>
      <c r="E173" s="582" t="n">
        <v>1</v>
      </c>
      <c r="F173" s="567"/>
    </row>
    <row r="174" customFormat="false" ht="15" hidden="false" customHeight="false" outlineLevel="0" collapsed="false">
      <c r="A174" s="567"/>
      <c r="B174" s="579" t="n">
        <v>4</v>
      </c>
      <c r="C174" s="580"/>
      <c r="D174" s="581"/>
      <c r="E174" s="582"/>
      <c r="F174" s="567"/>
    </row>
    <row r="175" customFormat="false" ht="15" hidden="false" customHeight="false" outlineLevel="0" collapsed="false">
      <c r="A175" s="567"/>
      <c r="B175" s="579" t="n">
        <v>5</v>
      </c>
      <c r="C175" s="580"/>
      <c r="D175" s="581"/>
      <c r="E175" s="582"/>
      <c r="F175" s="567"/>
    </row>
    <row r="176" customFormat="false" ht="15" hidden="false" customHeight="false" outlineLevel="0" collapsed="false">
      <c r="A176" s="567"/>
      <c r="B176" s="579" t="n">
        <v>6</v>
      </c>
      <c r="C176" s="580"/>
      <c r="D176" s="581"/>
      <c r="E176" s="582"/>
      <c r="F176" s="567"/>
    </row>
    <row r="177" customFormat="false" ht="15" hidden="false" customHeight="false" outlineLevel="0" collapsed="false">
      <c r="A177" s="567"/>
      <c r="B177" s="579" t="n">
        <v>7</v>
      </c>
      <c r="C177" s="580"/>
      <c r="D177" s="581"/>
      <c r="E177" s="582"/>
      <c r="F177" s="567"/>
    </row>
    <row r="178" customFormat="false" ht="15" hidden="false" customHeight="false" outlineLevel="0" collapsed="false">
      <c r="A178" s="567"/>
      <c r="B178" s="579" t="n">
        <v>8</v>
      </c>
      <c r="C178" s="580"/>
      <c r="D178" s="581"/>
      <c r="E178" s="582"/>
      <c r="F178" s="567"/>
    </row>
    <row r="179" customFormat="false" ht="15" hidden="false" customHeight="false" outlineLevel="0" collapsed="false">
      <c r="A179" s="567"/>
      <c r="B179" s="579" t="n">
        <v>9</v>
      </c>
      <c r="C179" s="580"/>
      <c r="D179" s="581"/>
      <c r="E179" s="582"/>
      <c r="F179" s="567"/>
    </row>
    <row r="180" customFormat="false" ht="15" hidden="false" customHeight="false" outlineLevel="0" collapsed="false">
      <c r="A180" s="567"/>
      <c r="B180" s="579" t="n">
        <v>10</v>
      </c>
      <c r="C180" s="580"/>
      <c r="D180" s="581"/>
      <c r="E180" s="582"/>
      <c r="F180" s="567"/>
    </row>
    <row r="181" customFormat="false" ht="15" hidden="false" customHeight="false" outlineLevel="0" collapsed="false">
      <c r="A181" s="567"/>
      <c r="B181" s="579" t="n">
        <v>11</v>
      </c>
      <c r="C181" s="580"/>
      <c r="D181" s="581"/>
      <c r="E181" s="582"/>
      <c r="F181" s="567"/>
    </row>
    <row r="182" customFormat="false" ht="15.75" hidden="false" customHeight="false" outlineLevel="0" collapsed="false">
      <c r="A182" s="567"/>
      <c r="B182" s="583" t="n">
        <v>12</v>
      </c>
      <c r="C182" s="584"/>
      <c r="D182" s="585"/>
      <c r="E182" s="586"/>
      <c r="F182" s="567"/>
    </row>
    <row r="183" customFormat="false" ht="15.75" hidden="false" customHeight="false" outlineLevel="0" collapsed="false">
      <c r="A183" s="567"/>
      <c r="B183" s="587"/>
      <c r="C183" s="588"/>
      <c r="D183" s="587"/>
      <c r="E183" s="587"/>
      <c r="F183" s="567"/>
    </row>
    <row r="184" customFormat="false" ht="15.75" hidden="false" customHeight="false" outlineLevel="0" collapsed="false">
      <c r="A184" s="567"/>
      <c r="B184" s="568" t="s">
        <v>462</v>
      </c>
      <c r="C184" s="569" t="s">
        <v>34</v>
      </c>
      <c r="D184" s="570" t="s">
        <v>463</v>
      </c>
      <c r="E184" s="571" t="s">
        <v>33</v>
      </c>
      <c r="F184" s="567"/>
    </row>
    <row r="185" customFormat="false" ht="15.75" hidden="false" customHeight="false" outlineLevel="0" collapsed="false">
      <c r="A185" s="567"/>
      <c r="B185" s="572" t="s">
        <v>41</v>
      </c>
      <c r="C185" s="573" t="s">
        <v>464</v>
      </c>
      <c r="D185" s="574" t="s">
        <v>465</v>
      </c>
      <c r="E185" s="573" t="s">
        <v>466</v>
      </c>
      <c r="F185" s="567"/>
    </row>
    <row r="186" customFormat="false" ht="15" hidden="false" customHeight="false" outlineLevel="0" collapsed="false">
      <c r="A186" s="567"/>
      <c r="B186" s="575" t="n">
        <v>1</v>
      </c>
      <c r="C186" s="576" t="s">
        <v>136</v>
      </c>
      <c r="D186" s="577" t="s">
        <v>467</v>
      </c>
      <c r="E186" s="578" t="n">
        <v>1</v>
      </c>
      <c r="F186" s="567"/>
    </row>
    <row r="187" customFormat="false" ht="15" hidden="false" customHeight="false" outlineLevel="0" collapsed="false">
      <c r="A187" s="567"/>
      <c r="B187" s="579" t="n">
        <v>2</v>
      </c>
      <c r="C187" s="580" t="s">
        <v>213</v>
      </c>
      <c r="D187" s="581" t="s">
        <v>468</v>
      </c>
      <c r="E187" s="582" t="n">
        <v>1</v>
      </c>
      <c r="F187" s="567"/>
    </row>
    <row r="188" customFormat="false" ht="15" hidden="false" customHeight="false" outlineLevel="0" collapsed="false">
      <c r="A188" s="567"/>
      <c r="B188" s="579" t="n">
        <v>3</v>
      </c>
      <c r="C188" s="580" t="s">
        <v>285</v>
      </c>
      <c r="D188" s="581" t="s">
        <v>469</v>
      </c>
      <c r="E188" s="582" t="n">
        <v>1</v>
      </c>
      <c r="F188" s="567"/>
    </row>
    <row r="189" customFormat="false" ht="15" hidden="false" customHeight="false" outlineLevel="0" collapsed="false">
      <c r="A189" s="567"/>
      <c r="B189" s="579" t="n">
        <v>4</v>
      </c>
      <c r="C189" s="580" t="s">
        <v>227</v>
      </c>
      <c r="D189" s="581" t="s">
        <v>470</v>
      </c>
      <c r="E189" s="582" t="n">
        <v>1</v>
      </c>
      <c r="F189" s="567"/>
    </row>
    <row r="190" customFormat="false" ht="15" hidden="false" customHeight="false" outlineLevel="0" collapsed="false">
      <c r="A190" s="567"/>
      <c r="B190" s="579" t="n">
        <v>5</v>
      </c>
      <c r="C190" s="580" t="s">
        <v>296</v>
      </c>
      <c r="D190" s="581" t="s">
        <v>471</v>
      </c>
      <c r="E190" s="582" t="n">
        <v>1</v>
      </c>
      <c r="F190" s="567"/>
    </row>
    <row r="191" customFormat="false" ht="15" hidden="false" customHeight="false" outlineLevel="0" collapsed="false">
      <c r="A191" s="567"/>
      <c r="B191" s="579" t="n">
        <v>6</v>
      </c>
      <c r="C191" s="580"/>
      <c r="D191" s="581"/>
      <c r="E191" s="582"/>
      <c r="F191" s="567"/>
    </row>
    <row r="192" customFormat="false" ht="15" hidden="false" customHeight="false" outlineLevel="0" collapsed="false">
      <c r="A192" s="567"/>
      <c r="B192" s="579" t="n">
        <v>7</v>
      </c>
      <c r="C192" s="580"/>
      <c r="D192" s="581"/>
      <c r="E192" s="582"/>
      <c r="F192" s="567"/>
    </row>
    <row r="193" customFormat="false" ht="15" hidden="false" customHeight="false" outlineLevel="0" collapsed="false">
      <c r="A193" s="567"/>
      <c r="B193" s="579" t="n">
        <v>8</v>
      </c>
      <c r="C193" s="580"/>
      <c r="D193" s="581"/>
      <c r="E193" s="582"/>
      <c r="F193" s="567"/>
    </row>
    <row r="194" customFormat="false" ht="15" hidden="false" customHeight="false" outlineLevel="0" collapsed="false">
      <c r="A194" s="567"/>
      <c r="B194" s="579" t="n">
        <v>9</v>
      </c>
      <c r="C194" s="580"/>
      <c r="D194" s="581"/>
      <c r="E194" s="582"/>
      <c r="F194" s="567"/>
    </row>
    <row r="195" customFormat="false" ht="15" hidden="false" customHeight="false" outlineLevel="0" collapsed="false">
      <c r="A195" s="567"/>
      <c r="B195" s="579" t="n">
        <v>10</v>
      </c>
      <c r="C195" s="580"/>
      <c r="D195" s="581"/>
      <c r="E195" s="582"/>
      <c r="F195" s="567"/>
    </row>
    <row r="196" customFormat="false" ht="15" hidden="false" customHeight="false" outlineLevel="0" collapsed="false">
      <c r="A196" s="567"/>
      <c r="B196" s="579" t="n">
        <v>11</v>
      </c>
      <c r="C196" s="580"/>
      <c r="D196" s="581"/>
      <c r="E196" s="582"/>
      <c r="F196" s="567"/>
    </row>
    <row r="197" customFormat="false" ht="15.75" hidden="false" customHeight="false" outlineLevel="0" collapsed="false">
      <c r="A197" s="567"/>
      <c r="B197" s="583" t="n">
        <v>12</v>
      </c>
      <c r="C197" s="584"/>
      <c r="D197" s="585"/>
      <c r="E197" s="586"/>
      <c r="F197" s="567"/>
    </row>
    <row r="198" customFormat="false" ht="15.75" hidden="false" customHeight="false" outlineLevel="0" collapsed="false">
      <c r="A198" s="567"/>
      <c r="B198" s="587"/>
      <c r="C198" s="588"/>
      <c r="D198" s="587"/>
      <c r="E198" s="587"/>
      <c r="F198" s="567"/>
    </row>
    <row r="199" customFormat="false" ht="15.75" hidden="false" customHeight="false" outlineLevel="0" collapsed="false">
      <c r="A199" s="567"/>
      <c r="B199" s="568" t="s">
        <v>462</v>
      </c>
      <c r="C199" s="569" t="s">
        <v>21</v>
      </c>
      <c r="D199" s="570" t="s">
        <v>463</v>
      </c>
      <c r="E199" s="571" t="s">
        <v>20</v>
      </c>
      <c r="F199" s="567"/>
    </row>
    <row r="200" customFormat="false" ht="15.75" hidden="false" customHeight="false" outlineLevel="0" collapsed="false">
      <c r="A200" s="567"/>
      <c r="B200" s="572" t="s">
        <v>41</v>
      </c>
      <c r="C200" s="573" t="s">
        <v>464</v>
      </c>
      <c r="D200" s="574" t="s">
        <v>465</v>
      </c>
      <c r="E200" s="573" t="s">
        <v>466</v>
      </c>
      <c r="F200" s="567"/>
    </row>
    <row r="201" customFormat="false" ht="15" hidden="false" customHeight="false" outlineLevel="0" collapsed="false">
      <c r="A201" s="567"/>
      <c r="B201" s="575" t="n">
        <v>1</v>
      </c>
      <c r="C201" s="576" t="s">
        <v>75</v>
      </c>
      <c r="D201" s="577" t="s">
        <v>467</v>
      </c>
      <c r="E201" s="578" t="n">
        <v>1</v>
      </c>
      <c r="F201" s="567"/>
    </row>
    <row r="202" customFormat="false" ht="15" hidden="false" customHeight="false" outlineLevel="0" collapsed="false">
      <c r="A202" s="567"/>
      <c r="B202" s="579" t="n">
        <v>2</v>
      </c>
      <c r="C202" s="589" t="s">
        <v>61</v>
      </c>
      <c r="D202" s="590" t="s">
        <v>476</v>
      </c>
      <c r="E202" s="591" t="n">
        <v>3</v>
      </c>
      <c r="F202" s="567"/>
    </row>
    <row r="203" customFormat="false" ht="15" hidden="false" customHeight="false" outlineLevel="0" collapsed="false">
      <c r="A203" s="567"/>
      <c r="B203" s="579" t="n">
        <v>3</v>
      </c>
      <c r="C203" s="580" t="s">
        <v>238</v>
      </c>
      <c r="D203" s="581" t="s">
        <v>470</v>
      </c>
      <c r="E203" s="582" t="n">
        <v>1</v>
      </c>
      <c r="F203" s="567"/>
    </row>
    <row r="204" customFormat="false" ht="15" hidden="false" customHeight="false" outlineLevel="0" collapsed="false">
      <c r="A204" s="567"/>
      <c r="B204" s="579" t="n">
        <v>4</v>
      </c>
      <c r="C204" s="580"/>
      <c r="D204" s="581"/>
      <c r="E204" s="582"/>
      <c r="F204" s="567"/>
    </row>
    <row r="205" customFormat="false" ht="15" hidden="false" customHeight="false" outlineLevel="0" collapsed="false">
      <c r="A205" s="567"/>
      <c r="B205" s="579" t="n">
        <v>5</v>
      </c>
      <c r="C205" s="580"/>
      <c r="D205" s="581"/>
      <c r="E205" s="582"/>
      <c r="F205" s="567"/>
    </row>
    <row r="206" customFormat="false" ht="15" hidden="false" customHeight="false" outlineLevel="0" collapsed="false">
      <c r="A206" s="567"/>
      <c r="B206" s="579" t="n">
        <v>6</v>
      </c>
      <c r="C206" s="580"/>
      <c r="D206" s="581"/>
      <c r="E206" s="582"/>
      <c r="F206" s="567"/>
    </row>
    <row r="207" customFormat="false" ht="15" hidden="false" customHeight="false" outlineLevel="0" collapsed="false">
      <c r="A207" s="567"/>
      <c r="B207" s="579" t="n">
        <v>7</v>
      </c>
      <c r="C207" s="580"/>
      <c r="D207" s="581"/>
      <c r="E207" s="582"/>
      <c r="F207" s="567"/>
    </row>
    <row r="208" customFormat="false" ht="15" hidden="false" customHeight="false" outlineLevel="0" collapsed="false">
      <c r="A208" s="567"/>
      <c r="B208" s="579" t="n">
        <v>8</v>
      </c>
      <c r="C208" s="580"/>
      <c r="D208" s="581"/>
      <c r="E208" s="582"/>
      <c r="F208" s="567"/>
    </row>
    <row r="209" customFormat="false" ht="15" hidden="false" customHeight="false" outlineLevel="0" collapsed="false">
      <c r="A209" s="567"/>
      <c r="B209" s="579" t="n">
        <v>9</v>
      </c>
      <c r="C209" s="580"/>
      <c r="D209" s="581"/>
      <c r="E209" s="582"/>
      <c r="F209" s="567"/>
    </row>
    <row r="210" customFormat="false" ht="15" hidden="false" customHeight="false" outlineLevel="0" collapsed="false">
      <c r="A210" s="567"/>
      <c r="B210" s="579" t="n">
        <v>10</v>
      </c>
      <c r="C210" s="580"/>
      <c r="D210" s="581"/>
      <c r="E210" s="582"/>
      <c r="F210" s="567"/>
    </row>
    <row r="211" customFormat="false" ht="15" hidden="false" customHeight="false" outlineLevel="0" collapsed="false">
      <c r="A211" s="567"/>
      <c r="B211" s="579" t="n">
        <v>11</v>
      </c>
      <c r="C211" s="580"/>
      <c r="D211" s="581"/>
      <c r="E211" s="582"/>
      <c r="F211" s="567"/>
    </row>
    <row r="212" customFormat="false" ht="15.75" hidden="false" customHeight="false" outlineLevel="0" collapsed="false">
      <c r="A212" s="567"/>
      <c r="B212" s="583" t="n">
        <v>12</v>
      </c>
      <c r="C212" s="584"/>
      <c r="D212" s="585"/>
      <c r="E212" s="586"/>
      <c r="F212" s="567"/>
    </row>
    <row r="213" customFormat="false" ht="15.75" hidden="false" customHeight="false" outlineLevel="0" collapsed="false">
      <c r="A213" s="567"/>
      <c r="B213" s="567"/>
      <c r="C213" s="567"/>
      <c r="D213" s="567"/>
      <c r="E213" s="567"/>
      <c r="F213" s="567"/>
    </row>
    <row r="214" customFormat="false" ht="15.75" hidden="false" customHeight="false" outlineLevel="0" collapsed="false">
      <c r="A214" s="567"/>
      <c r="B214" s="568" t="s">
        <v>462</v>
      </c>
      <c r="C214" s="569" t="s">
        <v>29</v>
      </c>
      <c r="D214" s="570" t="s">
        <v>463</v>
      </c>
      <c r="E214" s="571" t="s">
        <v>28</v>
      </c>
      <c r="F214" s="567"/>
    </row>
    <row r="215" customFormat="false" ht="15.75" hidden="false" customHeight="false" outlineLevel="0" collapsed="false">
      <c r="A215" s="567"/>
      <c r="B215" s="572" t="s">
        <v>41</v>
      </c>
      <c r="C215" s="573" t="s">
        <v>464</v>
      </c>
      <c r="D215" s="574" t="s">
        <v>465</v>
      </c>
      <c r="E215" s="573" t="s">
        <v>466</v>
      </c>
      <c r="F215" s="567"/>
    </row>
    <row r="216" customFormat="false" ht="15" hidden="false" customHeight="false" outlineLevel="0" collapsed="false">
      <c r="A216" s="567"/>
      <c r="B216" s="575" t="n">
        <v>1</v>
      </c>
      <c r="C216" s="576" t="s">
        <v>121</v>
      </c>
      <c r="D216" s="577" t="s">
        <v>467</v>
      </c>
      <c r="E216" s="578" t="n">
        <v>1</v>
      </c>
      <c r="F216" s="567"/>
    </row>
    <row r="217" customFormat="false" ht="15" hidden="false" customHeight="false" outlineLevel="0" collapsed="false">
      <c r="A217" s="567"/>
      <c r="B217" s="579" t="n">
        <v>2</v>
      </c>
      <c r="C217" s="580" t="s">
        <v>187</v>
      </c>
      <c r="D217" s="581" t="s">
        <v>468</v>
      </c>
      <c r="E217" s="582" t="n">
        <v>1</v>
      </c>
      <c r="F217" s="567"/>
    </row>
    <row r="218" customFormat="false" ht="15" hidden="false" customHeight="false" outlineLevel="0" collapsed="false">
      <c r="A218" s="567"/>
      <c r="B218" s="579" t="n">
        <v>3</v>
      </c>
      <c r="C218" s="580" t="s">
        <v>294</v>
      </c>
      <c r="D218" s="581" t="s">
        <v>469</v>
      </c>
      <c r="E218" s="582" t="n">
        <v>1</v>
      </c>
      <c r="F218" s="567"/>
    </row>
    <row r="219" customFormat="false" ht="15" hidden="false" customHeight="false" outlineLevel="0" collapsed="false">
      <c r="A219" s="567"/>
      <c r="B219" s="579" t="n">
        <v>4</v>
      </c>
      <c r="C219" s="580" t="s">
        <v>359</v>
      </c>
      <c r="D219" s="581" t="s">
        <v>470</v>
      </c>
      <c r="E219" s="582" t="n">
        <v>1</v>
      </c>
      <c r="F219" s="567"/>
    </row>
    <row r="220" customFormat="false" ht="15" hidden="false" customHeight="false" outlineLevel="0" collapsed="false">
      <c r="A220" s="567"/>
      <c r="B220" s="579" t="n">
        <v>5</v>
      </c>
      <c r="C220" s="580"/>
      <c r="D220" s="581"/>
      <c r="E220" s="582"/>
      <c r="F220" s="567"/>
    </row>
    <row r="221" customFormat="false" ht="15" hidden="false" customHeight="false" outlineLevel="0" collapsed="false">
      <c r="A221" s="567"/>
      <c r="B221" s="579" t="n">
        <v>6</v>
      </c>
      <c r="C221" s="580"/>
      <c r="D221" s="581"/>
      <c r="E221" s="582"/>
      <c r="F221" s="567"/>
    </row>
    <row r="222" customFormat="false" ht="15" hidden="false" customHeight="false" outlineLevel="0" collapsed="false">
      <c r="A222" s="567"/>
      <c r="B222" s="579" t="n">
        <v>7</v>
      </c>
      <c r="C222" s="580"/>
      <c r="D222" s="581"/>
      <c r="E222" s="582"/>
      <c r="F222" s="567"/>
    </row>
    <row r="223" customFormat="false" ht="15" hidden="false" customHeight="false" outlineLevel="0" collapsed="false">
      <c r="A223" s="567"/>
      <c r="B223" s="579" t="n">
        <v>8</v>
      </c>
      <c r="C223" s="580"/>
      <c r="D223" s="581"/>
      <c r="E223" s="582"/>
      <c r="F223" s="567"/>
    </row>
    <row r="224" customFormat="false" ht="15" hidden="false" customHeight="false" outlineLevel="0" collapsed="false">
      <c r="A224" s="567"/>
      <c r="B224" s="579" t="n">
        <v>9</v>
      </c>
      <c r="C224" s="580"/>
      <c r="D224" s="581"/>
      <c r="E224" s="582"/>
      <c r="F224" s="567"/>
    </row>
    <row r="225" customFormat="false" ht="15" hidden="false" customHeight="false" outlineLevel="0" collapsed="false">
      <c r="A225" s="567"/>
      <c r="B225" s="579" t="n">
        <v>10</v>
      </c>
      <c r="C225" s="580"/>
      <c r="D225" s="581"/>
      <c r="E225" s="582"/>
      <c r="F225" s="567"/>
    </row>
    <row r="226" customFormat="false" ht="15" hidden="false" customHeight="false" outlineLevel="0" collapsed="false">
      <c r="A226" s="567"/>
      <c r="B226" s="579" t="n">
        <v>11</v>
      </c>
      <c r="C226" s="580"/>
      <c r="D226" s="581"/>
      <c r="E226" s="582"/>
      <c r="F226" s="567"/>
    </row>
    <row r="227" customFormat="false" ht="15.75" hidden="false" customHeight="false" outlineLevel="0" collapsed="false">
      <c r="A227" s="567"/>
      <c r="B227" s="583" t="n">
        <v>12</v>
      </c>
      <c r="C227" s="584"/>
      <c r="D227" s="585"/>
      <c r="E227" s="586"/>
      <c r="F227" s="567"/>
    </row>
    <row r="228" customFormat="false" ht="15.75" hidden="false" customHeight="false" outlineLevel="0" collapsed="false">
      <c r="A228" s="567"/>
      <c r="B228" s="567"/>
      <c r="C228" s="567"/>
      <c r="D228" s="567"/>
      <c r="E228" s="567"/>
      <c r="F228" s="567"/>
    </row>
    <row r="229" customFormat="false" ht="15.75" hidden="false" customHeight="false" outlineLevel="0" collapsed="false">
      <c r="A229" s="567"/>
      <c r="B229" s="568" t="s">
        <v>462</v>
      </c>
      <c r="C229" s="569" t="s">
        <v>36</v>
      </c>
      <c r="D229" s="570" t="s">
        <v>463</v>
      </c>
      <c r="E229" s="571" t="s">
        <v>35</v>
      </c>
      <c r="F229" s="567"/>
    </row>
    <row r="230" customFormat="false" ht="15.75" hidden="false" customHeight="false" outlineLevel="0" collapsed="false">
      <c r="A230" s="567"/>
      <c r="B230" s="572" t="s">
        <v>41</v>
      </c>
      <c r="C230" s="573" t="s">
        <v>464</v>
      </c>
      <c r="D230" s="574" t="s">
        <v>465</v>
      </c>
      <c r="E230" s="573" t="s">
        <v>466</v>
      </c>
      <c r="F230" s="567"/>
    </row>
    <row r="231" customFormat="false" ht="15" hidden="false" customHeight="false" outlineLevel="0" collapsed="false">
      <c r="A231" s="567"/>
      <c r="B231" s="575" t="n">
        <v>1</v>
      </c>
      <c r="C231" s="576" t="s">
        <v>227</v>
      </c>
      <c r="D231" s="577" t="s">
        <v>467</v>
      </c>
      <c r="E231" s="578" t="n">
        <v>1</v>
      </c>
      <c r="F231" s="567"/>
    </row>
    <row r="232" customFormat="false" ht="15" hidden="false" customHeight="false" outlineLevel="0" collapsed="false">
      <c r="A232" s="567"/>
      <c r="B232" s="579" t="n">
        <v>2</v>
      </c>
      <c r="C232" s="580" t="s">
        <v>111</v>
      </c>
      <c r="D232" s="581" t="s">
        <v>468</v>
      </c>
      <c r="E232" s="582" t="n">
        <v>1</v>
      </c>
      <c r="F232" s="567"/>
    </row>
    <row r="233" customFormat="false" ht="15" hidden="false" customHeight="false" outlineLevel="0" collapsed="false">
      <c r="A233" s="567"/>
      <c r="B233" s="579" t="n">
        <v>3</v>
      </c>
      <c r="C233" s="580" t="s">
        <v>299</v>
      </c>
      <c r="D233" s="581" t="s">
        <v>469</v>
      </c>
      <c r="E233" s="582" t="n">
        <v>1</v>
      </c>
      <c r="F233" s="567"/>
    </row>
    <row r="234" customFormat="false" ht="15" hidden="false" customHeight="false" outlineLevel="0" collapsed="false">
      <c r="A234" s="567"/>
      <c r="B234" s="579" t="n">
        <v>4</v>
      </c>
      <c r="C234" s="580" t="s">
        <v>190</v>
      </c>
      <c r="D234" s="581" t="s">
        <v>470</v>
      </c>
      <c r="E234" s="582" t="n">
        <v>1</v>
      </c>
      <c r="F234" s="567"/>
    </row>
    <row r="235" customFormat="false" ht="15" hidden="false" customHeight="false" outlineLevel="0" collapsed="false">
      <c r="A235" s="567"/>
      <c r="B235" s="579" t="n">
        <v>5</v>
      </c>
      <c r="C235" s="580" t="s">
        <v>369</v>
      </c>
      <c r="D235" s="581" t="s">
        <v>471</v>
      </c>
      <c r="E235" s="582" t="n">
        <v>1</v>
      </c>
      <c r="F235" s="567"/>
    </row>
    <row r="236" customFormat="false" ht="15" hidden="false" customHeight="false" outlineLevel="0" collapsed="false">
      <c r="A236" s="567"/>
      <c r="B236" s="579" t="n">
        <v>6</v>
      </c>
      <c r="C236" s="580"/>
      <c r="D236" s="581"/>
      <c r="E236" s="582"/>
      <c r="F236" s="567"/>
    </row>
    <row r="237" customFormat="false" ht="15" hidden="false" customHeight="false" outlineLevel="0" collapsed="false">
      <c r="A237" s="567"/>
      <c r="B237" s="579" t="n">
        <v>7</v>
      </c>
      <c r="C237" s="580"/>
      <c r="D237" s="581"/>
      <c r="E237" s="582"/>
      <c r="F237" s="567"/>
    </row>
    <row r="238" customFormat="false" ht="15" hidden="false" customHeight="false" outlineLevel="0" collapsed="false">
      <c r="A238" s="567"/>
      <c r="B238" s="579" t="n">
        <v>8</v>
      </c>
      <c r="C238" s="580"/>
      <c r="D238" s="581"/>
      <c r="E238" s="582"/>
      <c r="F238" s="567"/>
    </row>
    <row r="239" customFormat="false" ht="15" hidden="false" customHeight="false" outlineLevel="0" collapsed="false">
      <c r="A239" s="567"/>
      <c r="B239" s="579" t="n">
        <v>9</v>
      </c>
      <c r="C239" s="580"/>
      <c r="D239" s="581"/>
      <c r="E239" s="582"/>
      <c r="F239" s="567"/>
    </row>
    <row r="240" customFormat="false" ht="15" hidden="false" customHeight="false" outlineLevel="0" collapsed="false">
      <c r="A240" s="567"/>
      <c r="B240" s="579" t="n">
        <v>10</v>
      </c>
      <c r="C240" s="580"/>
      <c r="D240" s="581"/>
      <c r="E240" s="582"/>
      <c r="F240" s="567"/>
    </row>
    <row r="241" customFormat="false" ht="15" hidden="false" customHeight="false" outlineLevel="0" collapsed="false">
      <c r="A241" s="567"/>
      <c r="B241" s="579" t="n">
        <v>11</v>
      </c>
      <c r="C241" s="580"/>
      <c r="D241" s="581"/>
      <c r="E241" s="582"/>
      <c r="F241" s="567"/>
    </row>
    <row r="242" customFormat="false" ht="15.75" hidden="false" customHeight="false" outlineLevel="0" collapsed="false">
      <c r="A242" s="567"/>
      <c r="B242" s="583" t="n">
        <v>12</v>
      </c>
      <c r="C242" s="584"/>
      <c r="D242" s="585"/>
      <c r="E242" s="586"/>
      <c r="F242" s="567"/>
    </row>
    <row r="243" customFormat="false" ht="15" hidden="false" customHeight="false" outlineLevel="0" collapsed="false">
      <c r="A243" s="567"/>
      <c r="B243" s="567"/>
      <c r="C243" s="567"/>
      <c r="D243" s="567"/>
      <c r="E243" s="567"/>
      <c r="F243" s="567"/>
    </row>
  </sheetData>
  <mergeCells count="1">
    <mergeCell ref="A1:F2"/>
  </mergeCell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3:B11"/>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4" activeCellId="0" sqref="A4"/>
    </sheetView>
  </sheetViews>
  <sheetFormatPr defaultColWidth="11.43359375" defaultRowHeight="17.1" zeroHeight="false" outlineLevelRow="0" outlineLevelCol="0"/>
  <cols>
    <col collapsed="false" customWidth="true" hidden="false" outlineLevel="0" max="1" min="1" style="1" width="18.71"/>
    <col collapsed="false" customWidth="true" hidden="false" outlineLevel="0" max="2" min="2" style="1" width="183.57"/>
    <col collapsed="false" customWidth="false" hidden="false" outlineLevel="0" max="1024" min="3" style="1" width="11.42"/>
  </cols>
  <sheetData>
    <row r="3" customFormat="false" ht="17.1" hidden="false" customHeight="true" outlineLevel="0" collapsed="false">
      <c r="A3" s="592" t="s">
        <v>111</v>
      </c>
      <c r="B3" s="592"/>
    </row>
    <row r="4" customFormat="false" ht="17.1" hidden="false" customHeight="true" outlineLevel="0" collapsed="false">
      <c r="A4" s="593" t="s">
        <v>129</v>
      </c>
      <c r="B4" s="594" t="s">
        <v>477</v>
      </c>
    </row>
    <row r="5" customFormat="false" ht="17.1" hidden="false" customHeight="true" outlineLevel="0" collapsed="false">
      <c r="A5" s="25" t="s">
        <v>124</v>
      </c>
      <c r="B5" s="595" t="s">
        <v>478</v>
      </c>
    </row>
    <row r="6" customFormat="false" ht="17.1" hidden="false" customHeight="true" outlineLevel="0" collapsed="false">
      <c r="A6" s="25" t="s">
        <v>479</v>
      </c>
      <c r="B6" s="595" t="s">
        <v>480</v>
      </c>
    </row>
    <row r="7" customFormat="false" ht="17.1" hidden="false" customHeight="true" outlineLevel="0" collapsed="false">
      <c r="A7" s="25" t="s">
        <v>218</v>
      </c>
      <c r="B7" s="595" t="s">
        <v>481</v>
      </c>
    </row>
    <row r="8" customFormat="false" ht="17.1" hidden="false" customHeight="true" outlineLevel="0" collapsed="false">
      <c r="A8" s="25" t="s">
        <v>186</v>
      </c>
      <c r="B8" s="595" t="s">
        <v>482</v>
      </c>
    </row>
    <row r="9" customFormat="false" ht="17.1" hidden="false" customHeight="true" outlineLevel="0" collapsed="false">
      <c r="A9" s="25" t="s">
        <v>126</v>
      </c>
      <c r="B9" s="595" t="s">
        <v>483</v>
      </c>
    </row>
    <row r="10" customFormat="false" ht="17.1" hidden="false" customHeight="true" outlineLevel="0" collapsed="false">
      <c r="A10" s="25" t="s">
        <v>131</v>
      </c>
      <c r="B10" s="595" t="s">
        <v>484</v>
      </c>
    </row>
    <row r="11" customFormat="false" ht="17.1" hidden="false" customHeight="true" outlineLevel="0" collapsed="false">
      <c r="A11" s="596" t="s">
        <v>183</v>
      </c>
      <c r="B11" s="55" t="s">
        <v>485</v>
      </c>
    </row>
  </sheetData>
  <mergeCells count="1">
    <mergeCell ref="A3:B3"/>
  </mergeCell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3</TotalTime>
  <Application>LibreOffice/7.0.4.2$Linux_X86_64 LibreOffice_project/00$Build-2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2020-04-14T00:23:52Z</dcterms:created>
  <dc:creator>Ginooo</dc:creator>
  <dc:description/>
  <dc:language>en-US</dc:language>
  <cp:lastModifiedBy/>
  <dcterms:modified xsi:type="dcterms:W3CDTF">2023-06-03T11:37:35Z</dcterms:modified>
  <cp:revision>1</cp:revision>
  <dc:subject/>
  <dc:title/>
</cp:coreProperties>
</file>

<file path=docProps/custom.xml><?xml version="1.0" encoding="utf-8"?>
<Properties xmlns="http://schemas.openxmlformats.org/officeDocument/2006/custom-properties" xmlns:vt="http://schemas.openxmlformats.org/officeDocument/2006/docPropsVTypes"/>
</file>